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gill-my.sharepoint.com/personal/rafael_chantresgarcia_mail_mcgill_ca/Documents/Courses/Fall 2025/Data Mining and Visualization/softwood-forecasting/"/>
    </mc:Choice>
  </mc:AlternateContent>
  <xr:revisionPtr revIDLastSave="64" documentId="8_{1F7822B1-0F11-4317-A7F0-28681BB55A86}" xr6:coauthVersionLast="47" xr6:coauthVersionMax="47" xr10:uidLastSave="{931E176A-CBA3-6F41-826F-CFF26F406208}"/>
  <bookViews>
    <workbookView xWindow="20" yWindow="0" windowWidth="35840" windowHeight="22400" firstSheet="14" activeTab="21" xr2:uid="{00000000-000D-0000-FFFF-FFFF00000000}"/>
  </bookViews>
  <sheets>
    <sheet name="USCAD_Exchange_Rate" sheetId="26" r:id="rId1"/>
    <sheet name="US_CPI" sheetId="2" r:id="rId2"/>
    <sheet name="US_GDP" sheetId="13" r:id="rId3"/>
    <sheet name="US_Mortgage_Interest_5Y" sheetId="14" r:id="rId4"/>
    <sheet name="US_Mortgage_Interest_30Y" sheetId="15" r:id="rId5"/>
    <sheet name="US_Building_Permits" sheetId="16" r:id="rId6"/>
    <sheet name="US _BP_Single_Housing" sheetId="17" r:id="rId7"/>
    <sheet name="US_Housing_Start" sheetId="19" r:id="rId8"/>
    <sheet name="US_New_Home_Sales" sheetId="20" r:id="rId9"/>
    <sheet name="US_Existing_Home _Sales" sheetId="21" r:id="rId10"/>
    <sheet name="US Existing_Single_Home_Sales" sheetId="22" r:id="rId11"/>
    <sheet name="US_NAHB_Housing_Market_Index" sheetId="23" r:id="rId12"/>
    <sheet name="US_Population_Growth_Rate_Bloom" sheetId="25" r:id="rId13"/>
    <sheet name="US_Population_Growth_Rate_FRED" sheetId="27" r:id="rId14"/>
    <sheet name="US_Households_Number" sheetId="24" r:id="rId15"/>
    <sheet name="CAD_CPI" sheetId="3" r:id="rId16"/>
    <sheet name="CAD_GDP" sheetId="4" r:id="rId17"/>
    <sheet name="CAD_Building Permits" sheetId="5" r:id="rId18"/>
    <sheet name="CAD_BP_Single_Housing" sheetId="6" r:id="rId19"/>
    <sheet name="CAD_Housing_Start" sheetId="8" r:id="rId20"/>
    <sheet name="CAD_Mortgage_Interest" sheetId="9" r:id="rId21"/>
    <sheet name="CAD_Wholesaler-Distributor" sheetId="10" r:id="rId22"/>
    <sheet name="CAD_Tot_Invent_Wood" sheetId="11" r:id="rId23"/>
    <sheet name="CAD_Export_Price_Lumber" sheetId="12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3" i="23" l="1" a="1"/>
  <c r="G53" i="23" s="1"/>
  <c r="C8" i="22" l="1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7" i="22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7" i="21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7" i="20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7" i="19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" i="16" l="1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7" i="16"/>
  <c r="C8" i="8" l="1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<sst xmlns="http://schemas.openxmlformats.org/spreadsheetml/2006/main" count="373" uniqueCount="83">
  <si>
    <t>Security</t>
  </si>
  <si>
    <t>CPI CHNG Index</t>
  </si>
  <si>
    <t>Start Date</t>
  </si>
  <si>
    <t>End Date</t>
  </si>
  <si>
    <t>Period</t>
  </si>
  <si>
    <t>M</t>
  </si>
  <si>
    <t>Date</t>
  </si>
  <si>
    <t>PX_LAST</t>
  </si>
  <si>
    <t>Change</t>
  </si>
  <si>
    <t>% Change</t>
  </si>
  <si>
    <t>CHG_PCT_1D</t>
  </si>
  <si>
    <t/>
  </si>
  <si>
    <t>#N/A N/A</t>
  </si>
  <si>
    <t>CPI in %</t>
  </si>
  <si>
    <t xml:space="preserve"> + for additional data</t>
  </si>
  <si>
    <t>CACPICHG Index</t>
  </si>
  <si>
    <t>CAD CPI</t>
  </si>
  <si>
    <t>CGE9ANN Index</t>
  </si>
  <si>
    <t>CAD GDP</t>
  </si>
  <si>
    <t>Q</t>
  </si>
  <si>
    <t>CAHOCSTD Index</t>
  </si>
  <si>
    <t>CAHOCSSG Index</t>
  </si>
  <si>
    <t>BP Single Housing</t>
  </si>
  <si>
    <t>CAHSTOTL Index</t>
  </si>
  <si>
    <t>CAD Housing Start (SAAR)</t>
  </si>
  <si>
    <t>CAD Housing Start (SA)</t>
  </si>
  <si>
    <t>CANMORT5 Index</t>
  </si>
  <si>
    <t>CAD Mortgage Interest</t>
  </si>
  <si>
    <t>CAD</t>
  </si>
  <si>
    <t>Currency</t>
  </si>
  <si>
    <t>CAWHLH4S Index</t>
  </si>
  <si>
    <t>CAD Wholesaler-Distributor</t>
  </si>
  <si>
    <t>in value and in millions</t>
  </si>
  <si>
    <t>CAIYSWPM Index</t>
  </si>
  <si>
    <t>CAD Tot Invent Wood</t>
  </si>
  <si>
    <t>in value and in thousands</t>
  </si>
  <si>
    <t>CAXMCPF5 Index</t>
  </si>
  <si>
    <t>CAD Export Price Lumber</t>
  </si>
  <si>
    <t>Index no units</t>
  </si>
  <si>
    <t>GDP CHUA Index</t>
  </si>
  <si>
    <t>(in SA)</t>
  </si>
  <si>
    <t>US GDP (in %)</t>
  </si>
  <si>
    <t>APORF5Y Index</t>
  </si>
  <si>
    <t>US Mortgage Interest (5 years)</t>
  </si>
  <si>
    <t>APORF30Y Index</t>
  </si>
  <si>
    <t>US Mortgage Interest (30 years)</t>
  </si>
  <si>
    <t>NHSPATOT Index</t>
  </si>
  <si>
    <t>BP in SAAR in thousand</t>
  </si>
  <si>
    <t>BP in SA in thousand</t>
  </si>
  <si>
    <t>BP (in SA)</t>
  </si>
  <si>
    <t>Unit/Persons</t>
  </si>
  <si>
    <t>NHSPA1 Index</t>
  </si>
  <si>
    <t>BP Single Housing (in SA)</t>
  </si>
  <si>
    <t>BP Single Housing (in SAAR)</t>
  </si>
  <si>
    <t>NHSPSTOT Index</t>
  </si>
  <si>
    <t>Housing Start (in SAAR)</t>
  </si>
  <si>
    <t>Housing Start (in SA)</t>
  </si>
  <si>
    <t>NHSLTOT Index</t>
  </si>
  <si>
    <t>US New Home Sales (in SAAR thousand)</t>
  </si>
  <si>
    <t>US New Home Sales (in SA)</t>
  </si>
  <si>
    <t>ETSLTOTL Index</t>
  </si>
  <si>
    <t>Existing Home Sales (in SAAR in million)</t>
  </si>
  <si>
    <t>Existing Home Sales (in SA)</t>
  </si>
  <si>
    <t>EHSLSL Index</t>
  </si>
  <si>
    <t>Existing Single Home Sales (in SAAR in million)</t>
  </si>
  <si>
    <t>Existing Single Home Sales (in SA)</t>
  </si>
  <si>
    <t>USHBMIDX Index</t>
  </si>
  <si>
    <t>Inf</t>
  </si>
  <si>
    <t>NAHB Housing Market Index</t>
  </si>
  <si>
    <t>USHHTOUS Index</t>
  </si>
  <si>
    <t>US Household Evolution (in %)</t>
  </si>
  <si>
    <t>USP TOT Index</t>
  </si>
  <si>
    <t>BGN</t>
  </si>
  <si>
    <t>Pricing Source</t>
  </si>
  <si>
    <t>CADUSD BGN Curncy</t>
  </si>
  <si>
    <t>CAD to USD Exchange Rate</t>
  </si>
  <si>
    <t>B230RC0Q173SBEA</t>
  </si>
  <si>
    <t>observation_date</t>
  </si>
  <si>
    <t>FRED Graph Observations</t>
  </si>
  <si>
    <t>Federal Reserve Economic Data, Federal Reserve Bank of St. Louis</t>
  </si>
  <si>
    <t>Link: https://fred.stlouisfed.org</t>
  </si>
  <si>
    <t>Population, Thousands, Quarterly, Not Seasonally Adjusted</t>
  </si>
  <si>
    <t>Data Updated: 2025-07-30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</si>
</sst>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8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22" fontId="1" fillId="0" borderId="0" xfId="42"/>
    <xf numFmtId="14" fontId="0" fillId="0" borderId="0" xfId="0" applyNumberFormat="1"/>
    <xf numFmtId="0" fontId="17" fillId="0" borderId="10" xfId="0" applyFont="1" applyBorder="1" applyAlignment="1">
      <alignment horizontal="center" vertical="top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139700</xdr:colOff>
      <xdr:row>5</xdr:row>
      <xdr:rowOff>50800</xdr:rowOff>
    </xdr:from>
    <xdr:to>
      <xdr:col>19</xdr:col>
      <xdr:colOff>651873</xdr:colOff>
      <xdr:row>13</xdr:row>
      <xdr:rowOff>165329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0D7DEA-6098-9FF1-B5DF-1CD549493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0" y="1003300"/>
          <a:ext cx="7916273" cy="1638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561975</xdr:colOff>
      <xdr:row>5</xdr:row>
      <xdr:rowOff>57150</xdr:rowOff>
    </xdr:from>
    <xdr:to>
      <xdr:col>21</xdr:col>
      <xdr:colOff>439154</xdr:colOff>
      <xdr:row>13</xdr:row>
      <xdr:rowOff>162152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41E0AD-38AE-C06A-6D95-45F40F32B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1009650"/>
          <a:ext cx="7192379" cy="16290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6</xdr:row>
      <xdr:rowOff>180975</xdr:rowOff>
    </xdr:from>
    <xdr:to>
      <xdr:col>19</xdr:col>
      <xdr:colOff>562991</xdr:colOff>
      <xdr:row>15</xdr:row>
      <xdr:rowOff>76425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C4076E-E7B2-8684-B81F-FBF3671F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323975"/>
          <a:ext cx="7278116" cy="160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B07A-DC7D-4F87-A088-CC2E7541E799}">
  <dimension ref="A1:E87"/>
  <sheetViews>
    <sheetView workbookViewId="0">
      <selection activeCell="G13" sqref="G13"/>
    </sheetView>
  </sheetViews>
  <sheetFormatPr baseColWidth="10" defaultColWidth="8.83203125" defaultRowHeight="15" outlineLevelCol="1" x14ac:dyDescent="0.2"/>
  <cols>
    <col min="1" max="1" width="12.6640625" customWidth="1"/>
    <col min="2" max="2" width="25" customWidth="1"/>
    <col min="3" max="4" width="9.1640625" hidden="1" customWidth="1" outlineLevel="1"/>
    <col min="5" max="5" width="20" customWidth="1" collapsed="1"/>
  </cols>
  <sheetData>
    <row r="1" spans="1:5" x14ac:dyDescent="0.2">
      <c r="A1" t="s">
        <v>0</v>
      </c>
      <c r="B1" t="s">
        <v>74</v>
      </c>
    </row>
    <row r="2" spans="1:5" x14ac:dyDescent="0.2">
      <c r="A2" t="s">
        <v>2</v>
      </c>
      <c r="B2" s="5">
        <v>38716</v>
      </c>
    </row>
    <row r="3" spans="1:5" x14ac:dyDescent="0.2">
      <c r="A3" t="s">
        <v>3</v>
      </c>
      <c r="B3" s="5">
        <v>45930</v>
      </c>
    </row>
    <row r="4" spans="1:5" x14ac:dyDescent="0.2">
      <c r="A4" t="s">
        <v>4</v>
      </c>
      <c r="B4" t="s">
        <v>19</v>
      </c>
    </row>
    <row r="5" spans="1:5" x14ac:dyDescent="0.2">
      <c r="A5" t="s">
        <v>73</v>
      </c>
      <c r="B5" t="s">
        <v>72</v>
      </c>
    </row>
    <row r="7" spans="1:5" x14ac:dyDescent="0.2">
      <c r="A7" t="s">
        <v>6</v>
      </c>
      <c r="B7" t="s">
        <v>75</v>
      </c>
      <c r="C7" t="s">
        <v>8</v>
      </c>
      <c r="D7" t="s">
        <v>9</v>
      </c>
      <c r="E7" t="s">
        <v>14</v>
      </c>
    </row>
    <row r="8" spans="1:5" x14ac:dyDescent="0.2">
      <c r="A8" s="6">
        <v>45930</v>
      </c>
      <c r="B8">
        <v>0.71840000000000004</v>
      </c>
      <c r="C8">
        <v>-1.6499999999999959E-2</v>
      </c>
      <c r="D8">
        <v>-2.245203429037959</v>
      </c>
    </row>
    <row r="9" spans="1:5" x14ac:dyDescent="0.2">
      <c r="A9" s="6">
        <v>45838</v>
      </c>
      <c r="B9">
        <v>0.7349</v>
      </c>
      <c r="C9">
        <v>3.9900000000000047E-2</v>
      </c>
      <c r="D9">
        <v>5.7410071942446113</v>
      </c>
    </row>
    <row r="10" spans="1:5" x14ac:dyDescent="0.2">
      <c r="A10" s="6">
        <v>45747</v>
      </c>
      <c r="B10">
        <v>0.69499999999999995</v>
      </c>
      <c r="C10">
        <v>-2.00000000000089E-4</v>
      </c>
      <c r="D10">
        <v>-2.8768699654788402E-2</v>
      </c>
    </row>
    <row r="11" spans="1:5" x14ac:dyDescent="0.2">
      <c r="A11" s="6">
        <v>45657</v>
      </c>
      <c r="B11">
        <v>0.69520000000000004</v>
      </c>
      <c r="C11">
        <v>-4.4199999999999906E-2</v>
      </c>
      <c r="D11">
        <v>-5.9778198539356122</v>
      </c>
    </row>
    <row r="12" spans="1:5" x14ac:dyDescent="0.2">
      <c r="A12" s="6">
        <v>45565</v>
      </c>
      <c r="B12">
        <v>0.73939999999999995</v>
      </c>
      <c r="C12">
        <v>8.3999999999999631E-3</v>
      </c>
      <c r="D12">
        <v>1.1491108071135381</v>
      </c>
    </row>
    <row r="13" spans="1:5" x14ac:dyDescent="0.2">
      <c r="A13" s="6">
        <v>45471</v>
      </c>
      <c r="B13">
        <v>0.73099999999999998</v>
      </c>
      <c r="C13">
        <v>-7.6000000000000512E-3</v>
      </c>
      <c r="D13">
        <v>-1.0289737340915315</v>
      </c>
    </row>
    <row r="14" spans="1:5" x14ac:dyDescent="0.2">
      <c r="A14" s="6">
        <v>45380</v>
      </c>
      <c r="B14">
        <v>0.73860000000000003</v>
      </c>
      <c r="C14">
        <v>-1.6499999999999959E-2</v>
      </c>
      <c r="D14">
        <v>-2.1851410409217267</v>
      </c>
    </row>
    <row r="15" spans="1:5" x14ac:dyDescent="0.2">
      <c r="A15" s="6">
        <v>45289</v>
      </c>
      <c r="B15">
        <v>0.75509999999999999</v>
      </c>
      <c r="C15">
        <v>1.859999999999995E-2</v>
      </c>
      <c r="D15">
        <v>2.5254582484724981</v>
      </c>
    </row>
    <row r="16" spans="1:5" x14ac:dyDescent="0.2">
      <c r="A16" s="6">
        <v>45198</v>
      </c>
      <c r="B16">
        <v>0.73650000000000004</v>
      </c>
      <c r="C16">
        <v>-1.8699999999999939E-2</v>
      </c>
      <c r="D16">
        <v>-2.4761652542372801</v>
      </c>
    </row>
    <row r="17" spans="1:4" x14ac:dyDescent="0.2">
      <c r="A17" s="6">
        <v>45107</v>
      </c>
      <c r="B17">
        <v>0.75519999999999998</v>
      </c>
      <c r="C17">
        <v>1.5399999999999969E-2</v>
      </c>
      <c r="D17">
        <v>2.0816436874830995</v>
      </c>
    </row>
    <row r="18" spans="1:4" x14ac:dyDescent="0.2">
      <c r="A18" s="6">
        <v>45016</v>
      </c>
      <c r="B18">
        <v>0.73980000000000001</v>
      </c>
      <c r="C18">
        <v>2.0000000000000018E-3</v>
      </c>
      <c r="D18">
        <v>0.27107617240444587</v>
      </c>
    </row>
    <row r="19" spans="1:4" x14ac:dyDescent="0.2">
      <c r="A19" s="6">
        <v>44925</v>
      </c>
      <c r="B19">
        <v>0.73780000000000001</v>
      </c>
      <c r="C19">
        <v>1.4700000000000046E-2</v>
      </c>
      <c r="D19">
        <v>2.0329138431752245</v>
      </c>
    </row>
    <row r="20" spans="1:4" x14ac:dyDescent="0.2">
      <c r="A20" s="6">
        <v>44834</v>
      </c>
      <c r="B20">
        <v>0.72309999999999997</v>
      </c>
      <c r="C20">
        <v>-5.3700000000000081E-2</v>
      </c>
      <c r="D20">
        <v>-6.9129763130793096</v>
      </c>
    </row>
    <row r="21" spans="1:4" x14ac:dyDescent="0.2">
      <c r="A21" s="6">
        <v>44742</v>
      </c>
      <c r="B21">
        <v>0.77680000000000005</v>
      </c>
      <c r="C21">
        <v>-2.2699999999999942E-2</v>
      </c>
      <c r="D21">
        <v>-2.8392745465916125</v>
      </c>
    </row>
    <row r="22" spans="1:4" x14ac:dyDescent="0.2">
      <c r="A22" s="6">
        <v>44651</v>
      </c>
      <c r="B22">
        <v>0.79949999999999999</v>
      </c>
      <c r="C22">
        <v>8.2999999999999741E-3</v>
      </c>
      <c r="D22">
        <v>1.049039433771483</v>
      </c>
    </row>
    <row r="23" spans="1:4" x14ac:dyDescent="0.2">
      <c r="A23" s="6">
        <v>44561</v>
      </c>
      <c r="B23">
        <v>0.79120000000000001</v>
      </c>
      <c r="C23">
        <v>2.7000000000000357E-3</v>
      </c>
      <c r="D23">
        <v>0.34242232086240149</v>
      </c>
    </row>
    <row r="24" spans="1:4" x14ac:dyDescent="0.2">
      <c r="A24" s="6">
        <v>44469</v>
      </c>
      <c r="B24">
        <v>0.78849999999999998</v>
      </c>
      <c r="C24">
        <v>-1.8100000000000005E-2</v>
      </c>
      <c r="D24">
        <v>-2.2439871063724279</v>
      </c>
    </row>
    <row r="25" spans="1:4" x14ac:dyDescent="0.2">
      <c r="A25" s="6">
        <v>44377</v>
      </c>
      <c r="B25">
        <v>0.80659999999999998</v>
      </c>
      <c r="C25">
        <v>1.0499999999999954E-2</v>
      </c>
      <c r="D25">
        <v>1.318929782690611</v>
      </c>
    </row>
    <row r="26" spans="1:4" x14ac:dyDescent="0.2">
      <c r="A26" s="6">
        <v>44286</v>
      </c>
      <c r="B26">
        <v>0.79610000000000003</v>
      </c>
      <c r="C26">
        <v>1.0800000000000032E-2</v>
      </c>
      <c r="D26">
        <v>1.3752705972239949</v>
      </c>
    </row>
    <row r="27" spans="1:4" x14ac:dyDescent="0.2">
      <c r="A27" s="6">
        <v>44196</v>
      </c>
      <c r="B27">
        <v>0.7853</v>
      </c>
      <c r="C27">
        <v>3.4599999999999964E-2</v>
      </c>
      <c r="D27">
        <v>4.6090315705341629</v>
      </c>
    </row>
    <row r="28" spans="1:4" x14ac:dyDescent="0.2">
      <c r="A28" s="6">
        <v>44104</v>
      </c>
      <c r="B28">
        <v>0.75070000000000003</v>
      </c>
      <c r="C28">
        <v>1.4100000000000001E-2</v>
      </c>
      <c r="D28">
        <v>1.9142003801248983</v>
      </c>
    </row>
    <row r="29" spans="1:4" x14ac:dyDescent="0.2">
      <c r="A29" s="6">
        <v>44012</v>
      </c>
      <c r="B29">
        <v>0.73660000000000003</v>
      </c>
      <c r="C29">
        <v>2.5700000000000056E-2</v>
      </c>
      <c r="D29">
        <v>3.6151357434238371</v>
      </c>
    </row>
    <row r="30" spans="1:4" x14ac:dyDescent="0.2">
      <c r="A30" s="6">
        <v>43921</v>
      </c>
      <c r="B30">
        <v>0.71089999999999998</v>
      </c>
      <c r="C30">
        <v>-5.8900000000000063E-2</v>
      </c>
      <c r="D30">
        <v>-7.6513380098727017</v>
      </c>
    </row>
    <row r="31" spans="1:4" x14ac:dyDescent="0.2">
      <c r="A31" s="6">
        <v>43830</v>
      </c>
      <c r="B31">
        <v>0.76980000000000004</v>
      </c>
      <c r="C31">
        <v>1.4500000000000068E-2</v>
      </c>
      <c r="D31">
        <v>1.9197669800079531</v>
      </c>
    </row>
    <row r="32" spans="1:4" x14ac:dyDescent="0.2">
      <c r="A32" s="6">
        <v>43738</v>
      </c>
      <c r="B32">
        <v>0.75529999999999997</v>
      </c>
      <c r="C32">
        <v>-8.4000000000000741E-3</v>
      </c>
      <c r="D32">
        <v>-1.0999083409715953</v>
      </c>
    </row>
    <row r="33" spans="1:4" x14ac:dyDescent="0.2">
      <c r="A33" s="6">
        <v>43644</v>
      </c>
      <c r="B33">
        <v>0.76370000000000005</v>
      </c>
      <c r="C33">
        <v>1.4600000000000057E-2</v>
      </c>
      <c r="D33">
        <v>1.9490054732345559</v>
      </c>
    </row>
    <row r="34" spans="1:4" x14ac:dyDescent="0.2">
      <c r="A34" s="6">
        <v>43553</v>
      </c>
      <c r="B34">
        <v>0.74909999999999999</v>
      </c>
      <c r="C34">
        <v>1.5900000000000025E-2</v>
      </c>
      <c r="D34">
        <v>2.1685761047463212</v>
      </c>
    </row>
    <row r="35" spans="1:4" x14ac:dyDescent="0.2">
      <c r="A35" s="6">
        <v>43465</v>
      </c>
      <c r="B35">
        <v>0.73319999999999996</v>
      </c>
      <c r="C35">
        <v>-4.1399999999999992E-2</v>
      </c>
      <c r="D35">
        <v>-5.3446940356312922</v>
      </c>
    </row>
    <row r="36" spans="1:4" x14ac:dyDescent="0.2">
      <c r="A36" s="6">
        <v>43371</v>
      </c>
      <c r="B36">
        <v>0.77459999999999996</v>
      </c>
      <c r="C36">
        <v>1.319999999999999E-2</v>
      </c>
      <c r="D36">
        <v>1.7336485421591792</v>
      </c>
    </row>
    <row r="37" spans="1:4" x14ac:dyDescent="0.2">
      <c r="A37" s="6">
        <v>43280</v>
      </c>
      <c r="B37">
        <v>0.76139999999999997</v>
      </c>
      <c r="C37">
        <v>-1.4100000000000001E-2</v>
      </c>
      <c r="D37">
        <v>-1.8181818181818183</v>
      </c>
    </row>
    <row r="38" spans="1:4" x14ac:dyDescent="0.2">
      <c r="A38" s="6">
        <v>43189</v>
      </c>
      <c r="B38">
        <v>0.77549999999999997</v>
      </c>
      <c r="C38">
        <v>-2.0000000000000018E-2</v>
      </c>
      <c r="D38">
        <v>-2.5141420490257724</v>
      </c>
    </row>
    <row r="39" spans="1:4" x14ac:dyDescent="0.2">
      <c r="A39" s="6">
        <v>43098</v>
      </c>
      <c r="B39">
        <v>0.79549999999999998</v>
      </c>
      <c r="C39">
        <v>-6.3999999999999613E-3</v>
      </c>
      <c r="D39">
        <v>-0.79810450180820069</v>
      </c>
    </row>
    <row r="40" spans="1:4" x14ac:dyDescent="0.2">
      <c r="A40" s="6">
        <v>43007</v>
      </c>
      <c r="B40">
        <v>0.80189999999999995</v>
      </c>
      <c r="C40">
        <v>3.0499999999999972E-2</v>
      </c>
      <c r="D40">
        <v>3.9538501425978705</v>
      </c>
    </row>
    <row r="41" spans="1:4" x14ac:dyDescent="0.2">
      <c r="A41" s="6">
        <v>42916</v>
      </c>
      <c r="B41">
        <v>0.77139999999999997</v>
      </c>
      <c r="C41">
        <v>2.0499999999999963E-2</v>
      </c>
      <c r="D41">
        <v>2.7300572646157892</v>
      </c>
    </row>
    <row r="42" spans="1:4" x14ac:dyDescent="0.2">
      <c r="A42" s="6">
        <v>42825</v>
      </c>
      <c r="B42">
        <v>0.75090000000000001</v>
      </c>
      <c r="C42">
        <v>6.8000000000000282E-3</v>
      </c>
      <c r="D42">
        <v>0.91385566456121869</v>
      </c>
    </row>
    <row r="43" spans="1:4" x14ac:dyDescent="0.2">
      <c r="A43" s="6">
        <v>42734</v>
      </c>
      <c r="B43">
        <v>0.74409999999999998</v>
      </c>
      <c r="C43">
        <v>-1.7700000000000049E-2</v>
      </c>
      <c r="D43">
        <v>-2.3234444736151283</v>
      </c>
    </row>
    <row r="44" spans="1:4" x14ac:dyDescent="0.2">
      <c r="A44" s="6">
        <v>42643</v>
      </c>
      <c r="B44">
        <v>0.76180000000000003</v>
      </c>
      <c r="C44">
        <v>-1.1900000000000022E-2</v>
      </c>
      <c r="D44">
        <v>-1.5380638490370973</v>
      </c>
    </row>
    <row r="45" spans="1:4" x14ac:dyDescent="0.2">
      <c r="A45" s="6">
        <v>42551</v>
      </c>
      <c r="B45">
        <v>0.77370000000000005</v>
      </c>
      <c r="C45">
        <v>4.7000000000000375E-3</v>
      </c>
      <c r="D45">
        <v>0.61118335500650678</v>
      </c>
    </row>
    <row r="46" spans="1:4" x14ac:dyDescent="0.2">
      <c r="A46" s="6">
        <v>42460</v>
      </c>
      <c r="B46">
        <v>0.76900000000000002</v>
      </c>
      <c r="C46">
        <v>4.6300000000000008E-2</v>
      </c>
      <c r="D46">
        <v>6.4065310640653115</v>
      </c>
    </row>
    <row r="47" spans="1:4" x14ac:dyDescent="0.2">
      <c r="A47" s="6">
        <v>42369</v>
      </c>
      <c r="B47">
        <v>0.72270000000000001</v>
      </c>
      <c r="C47">
        <v>-2.849999999999997E-2</v>
      </c>
      <c r="D47">
        <v>-3.7939297124600602</v>
      </c>
    </row>
    <row r="48" spans="1:4" x14ac:dyDescent="0.2">
      <c r="A48" s="6">
        <v>42277</v>
      </c>
      <c r="B48">
        <v>0.75119999999999998</v>
      </c>
      <c r="C48">
        <v>-4.9100000000000033E-2</v>
      </c>
      <c r="D48">
        <v>-6.1351993002624061</v>
      </c>
    </row>
    <row r="49" spans="1:4" x14ac:dyDescent="0.2">
      <c r="A49" s="6">
        <v>42185</v>
      </c>
      <c r="B49">
        <v>0.80030000000000001</v>
      </c>
      <c r="C49">
        <v>1.1900000000000022E-2</v>
      </c>
      <c r="D49">
        <v>1.5093860984271972</v>
      </c>
    </row>
    <row r="50" spans="1:4" x14ac:dyDescent="0.2">
      <c r="A50" s="6">
        <v>42094</v>
      </c>
      <c r="B50">
        <v>0.78839999999999999</v>
      </c>
      <c r="C50">
        <v>-7.2100000000000053E-2</v>
      </c>
      <c r="D50">
        <v>-8.3788495061011101</v>
      </c>
    </row>
    <row r="51" spans="1:4" x14ac:dyDescent="0.2">
      <c r="A51" s="6">
        <v>42004</v>
      </c>
      <c r="B51">
        <v>0.86050000000000004</v>
      </c>
      <c r="C51">
        <v>-3.2699999999999951E-2</v>
      </c>
      <c r="D51">
        <v>-3.6609941782355522</v>
      </c>
    </row>
    <row r="52" spans="1:4" x14ac:dyDescent="0.2">
      <c r="A52" s="6">
        <v>41912</v>
      </c>
      <c r="B52">
        <v>0.89319999999999999</v>
      </c>
      <c r="C52">
        <v>-4.4100000000000028E-2</v>
      </c>
      <c r="D52">
        <v>-4.7050037341299502</v>
      </c>
    </row>
    <row r="53" spans="1:4" x14ac:dyDescent="0.2">
      <c r="A53" s="6">
        <v>41820</v>
      </c>
      <c r="B53">
        <v>0.93730000000000002</v>
      </c>
      <c r="C53">
        <v>3.2299999999999995E-2</v>
      </c>
      <c r="D53">
        <v>3.5690607734806625</v>
      </c>
    </row>
    <row r="54" spans="1:4" x14ac:dyDescent="0.2">
      <c r="A54" s="6">
        <v>41729</v>
      </c>
      <c r="B54">
        <v>0.90500000000000003</v>
      </c>
      <c r="C54">
        <v>-3.6399999999999988E-2</v>
      </c>
      <c r="D54">
        <v>-3.8665816868493721</v>
      </c>
    </row>
    <row r="55" spans="1:4" x14ac:dyDescent="0.2">
      <c r="A55" s="6">
        <v>41639</v>
      </c>
      <c r="B55">
        <v>0.94140000000000001</v>
      </c>
      <c r="C55">
        <v>-2.8599999999999959E-2</v>
      </c>
      <c r="D55">
        <v>-2.9484536082474184</v>
      </c>
    </row>
    <row r="56" spans="1:4" x14ac:dyDescent="0.2">
      <c r="A56" s="6">
        <v>41547</v>
      </c>
      <c r="B56">
        <v>0.97</v>
      </c>
      <c r="C56">
        <v>1.9399999999999973E-2</v>
      </c>
      <c r="D56">
        <v>2.0408163265306092</v>
      </c>
    </row>
    <row r="57" spans="1:4" x14ac:dyDescent="0.2">
      <c r="A57" s="6">
        <v>41453</v>
      </c>
      <c r="B57">
        <v>0.9506</v>
      </c>
      <c r="C57">
        <v>-3.2299999999999995E-2</v>
      </c>
      <c r="D57">
        <v>-3.2861939159629663</v>
      </c>
    </row>
    <row r="58" spans="1:4" x14ac:dyDescent="0.2">
      <c r="A58" s="6">
        <v>41362</v>
      </c>
      <c r="B58">
        <v>0.9829</v>
      </c>
      <c r="C58">
        <v>-2.5000000000000022E-2</v>
      </c>
      <c r="D58">
        <v>-2.4804048020636991</v>
      </c>
    </row>
    <row r="59" spans="1:4" x14ac:dyDescent="0.2">
      <c r="A59" s="6">
        <v>41274</v>
      </c>
      <c r="B59">
        <v>1.0079</v>
      </c>
      <c r="C59">
        <v>-8.599999999999941E-3</v>
      </c>
      <c r="D59">
        <v>-0.84604033448105675</v>
      </c>
    </row>
    <row r="60" spans="1:4" x14ac:dyDescent="0.2">
      <c r="A60" s="6">
        <v>41180</v>
      </c>
      <c r="B60">
        <v>1.0165</v>
      </c>
      <c r="C60">
        <v>3.279999999999994E-2</v>
      </c>
      <c r="D60">
        <v>3.334349903425835</v>
      </c>
    </row>
    <row r="61" spans="1:4" x14ac:dyDescent="0.2">
      <c r="A61" s="6">
        <v>41089</v>
      </c>
      <c r="B61">
        <v>0.98370000000000002</v>
      </c>
      <c r="C61">
        <v>-1.760000000000006E-2</v>
      </c>
      <c r="D61">
        <v>-1.7577149705383062</v>
      </c>
    </row>
    <row r="62" spans="1:4" x14ac:dyDescent="0.2">
      <c r="A62" s="6">
        <v>40998</v>
      </c>
      <c r="B62">
        <v>1.0013000000000001</v>
      </c>
      <c r="C62">
        <v>2.2400000000000087E-2</v>
      </c>
      <c r="D62">
        <v>2.2882827663704246</v>
      </c>
    </row>
    <row r="63" spans="1:4" x14ac:dyDescent="0.2">
      <c r="A63" s="6">
        <v>40907</v>
      </c>
      <c r="B63">
        <v>0.97889999999999999</v>
      </c>
      <c r="C63">
        <v>2.6800000000000046E-2</v>
      </c>
      <c r="D63">
        <v>2.8148303749606183</v>
      </c>
    </row>
    <row r="64" spans="1:4" x14ac:dyDescent="0.2">
      <c r="A64" s="6">
        <v>40816</v>
      </c>
      <c r="B64">
        <v>0.95209999999999995</v>
      </c>
      <c r="C64">
        <v>-8.5900000000000087E-2</v>
      </c>
      <c r="D64">
        <v>-8.2755298651252485</v>
      </c>
    </row>
    <row r="65" spans="1:4" x14ac:dyDescent="0.2">
      <c r="A65" s="6">
        <v>40724</v>
      </c>
      <c r="B65">
        <v>1.038</v>
      </c>
      <c r="C65">
        <v>7.7000000000000401E-3</v>
      </c>
      <c r="D65">
        <v>0.74735513927982533</v>
      </c>
    </row>
    <row r="66" spans="1:4" x14ac:dyDescent="0.2">
      <c r="A66" s="6">
        <v>40633</v>
      </c>
      <c r="B66">
        <v>1.0303</v>
      </c>
      <c r="C66">
        <v>2.8299999999999992E-2</v>
      </c>
      <c r="D66">
        <v>2.824351297405189</v>
      </c>
    </row>
    <row r="67" spans="1:4" x14ac:dyDescent="0.2">
      <c r="A67" s="6">
        <v>40543</v>
      </c>
      <c r="B67">
        <v>1.002</v>
      </c>
      <c r="C67">
        <v>3.0399999999999983E-2</v>
      </c>
      <c r="D67">
        <v>3.128859613009467</v>
      </c>
    </row>
    <row r="68" spans="1:4" x14ac:dyDescent="0.2">
      <c r="A68" s="6">
        <v>40451</v>
      </c>
      <c r="B68">
        <v>0.97160000000000002</v>
      </c>
      <c r="C68">
        <v>3.1700000000000061E-2</v>
      </c>
      <c r="D68">
        <v>3.3726992233216366</v>
      </c>
    </row>
    <row r="69" spans="1:4" x14ac:dyDescent="0.2">
      <c r="A69" s="6">
        <v>40359</v>
      </c>
      <c r="B69">
        <v>0.93989999999999996</v>
      </c>
      <c r="C69">
        <v>-4.4900000000000051E-2</v>
      </c>
      <c r="D69">
        <v>-4.5593013809910694</v>
      </c>
    </row>
    <row r="70" spans="1:4" x14ac:dyDescent="0.2">
      <c r="A70" s="6">
        <v>40268</v>
      </c>
      <c r="B70">
        <v>0.98480000000000001</v>
      </c>
      <c r="C70">
        <v>3.4200000000000008E-2</v>
      </c>
      <c r="D70">
        <v>3.597727750894173</v>
      </c>
    </row>
    <row r="71" spans="1:4" x14ac:dyDescent="0.2">
      <c r="A71" s="6">
        <v>40178</v>
      </c>
      <c r="B71">
        <v>0.9506</v>
      </c>
      <c r="C71">
        <v>1.5499999999999958E-2</v>
      </c>
      <c r="D71">
        <v>1.6575767297615183</v>
      </c>
    </row>
    <row r="72" spans="1:4" x14ac:dyDescent="0.2">
      <c r="A72" s="6">
        <v>40086</v>
      </c>
      <c r="B72">
        <v>0.93510000000000004</v>
      </c>
      <c r="C72">
        <v>7.4699999999999989E-2</v>
      </c>
      <c r="D72">
        <v>8.6820083682008349</v>
      </c>
    </row>
    <row r="73" spans="1:4" x14ac:dyDescent="0.2">
      <c r="A73" s="6">
        <v>39994</v>
      </c>
      <c r="B73">
        <v>0.86040000000000005</v>
      </c>
      <c r="C73">
        <v>6.6900000000000071E-2</v>
      </c>
      <c r="D73">
        <v>8.4310018903591768</v>
      </c>
    </row>
    <row r="74" spans="1:4" x14ac:dyDescent="0.2">
      <c r="A74" s="6">
        <v>39903</v>
      </c>
      <c r="B74">
        <v>0.79349999999999998</v>
      </c>
      <c r="C74">
        <v>-2.6700000000000057E-2</v>
      </c>
      <c r="D74">
        <v>-3.2553035844915943</v>
      </c>
    </row>
    <row r="75" spans="1:4" x14ac:dyDescent="0.2">
      <c r="A75" s="6">
        <v>39813</v>
      </c>
      <c r="B75">
        <v>0.82020000000000004</v>
      </c>
      <c r="C75">
        <v>-0.11929999999999996</v>
      </c>
      <c r="D75">
        <v>-12.698243746673759</v>
      </c>
    </row>
    <row r="76" spans="1:4" x14ac:dyDescent="0.2">
      <c r="A76" s="6">
        <v>39721</v>
      </c>
      <c r="B76">
        <v>0.9395</v>
      </c>
      <c r="C76">
        <v>-3.9399999999999991E-2</v>
      </c>
      <c r="D76">
        <v>-4.0249259372765342</v>
      </c>
    </row>
    <row r="77" spans="1:4" x14ac:dyDescent="0.2">
      <c r="A77" s="6">
        <v>39629</v>
      </c>
      <c r="B77">
        <v>0.97889999999999999</v>
      </c>
      <c r="C77">
        <v>3.4999999999999476E-3</v>
      </c>
      <c r="D77">
        <v>0.35882714783677955</v>
      </c>
    </row>
    <row r="78" spans="1:4" x14ac:dyDescent="0.2">
      <c r="A78" s="6">
        <v>39538</v>
      </c>
      <c r="B78">
        <v>0.97540000000000004</v>
      </c>
      <c r="C78">
        <v>-2.629999999999999E-2</v>
      </c>
      <c r="D78">
        <v>-2.6255365878007377</v>
      </c>
    </row>
    <row r="79" spans="1:4" x14ac:dyDescent="0.2">
      <c r="A79" s="6">
        <v>39447</v>
      </c>
      <c r="B79">
        <v>1.0017</v>
      </c>
      <c r="C79">
        <v>-6.0999999999999943E-3</v>
      </c>
      <c r="D79">
        <v>-0.60527882516372233</v>
      </c>
    </row>
    <row r="80" spans="1:4" x14ac:dyDescent="0.2">
      <c r="A80" s="6">
        <v>39353</v>
      </c>
      <c r="B80">
        <v>1.0078</v>
      </c>
      <c r="C80">
        <v>6.910000000000005E-2</v>
      </c>
      <c r="D80">
        <v>7.3612442739959576</v>
      </c>
    </row>
    <row r="81" spans="1:4" x14ac:dyDescent="0.2">
      <c r="A81" s="6">
        <v>39262</v>
      </c>
      <c r="B81">
        <v>0.93869999999999998</v>
      </c>
      <c r="C81">
        <v>7.2099999999999942E-2</v>
      </c>
      <c r="D81">
        <v>8.3198707592891683</v>
      </c>
    </row>
    <row r="82" spans="1:4" x14ac:dyDescent="0.2">
      <c r="A82" s="6">
        <v>39171</v>
      </c>
      <c r="B82">
        <v>0.86660000000000004</v>
      </c>
      <c r="C82">
        <v>8.80000000000003E-3</v>
      </c>
      <c r="D82">
        <v>1.0258801585451189</v>
      </c>
    </row>
    <row r="83" spans="1:4" x14ac:dyDescent="0.2">
      <c r="A83" s="6">
        <v>39080</v>
      </c>
      <c r="B83">
        <v>0.85780000000000001</v>
      </c>
      <c r="C83">
        <v>-3.6699999999999955E-2</v>
      </c>
      <c r="D83">
        <v>-4.1028507546115103</v>
      </c>
    </row>
    <row r="84" spans="1:4" x14ac:dyDescent="0.2">
      <c r="A84" s="6">
        <v>38989</v>
      </c>
      <c r="B84">
        <v>0.89449999999999996</v>
      </c>
      <c r="C84">
        <v>-1.4000000000000679E-3</v>
      </c>
      <c r="D84">
        <v>-0.15626744056257036</v>
      </c>
    </row>
    <row r="85" spans="1:4" x14ac:dyDescent="0.2">
      <c r="A85" s="6">
        <v>38898</v>
      </c>
      <c r="B85">
        <v>0.89590000000000003</v>
      </c>
      <c r="C85">
        <v>4.0200000000000014E-2</v>
      </c>
      <c r="D85">
        <v>4.6979081453780545</v>
      </c>
    </row>
    <row r="86" spans="1:4" x14ac:dyDescent="0.2">
      <c r="A86" s="6">
        <v>38807</v>
      </c>
      <c r="B86">
        <v>0.85570000000000002</v>
      </c>
      <c r="C86">
        <v>-4.8000000000000265E-3</v>
      </c>
      <c r="D86">
        <v>-0.55781522370715009</v>
      </c>
    </row>
    <row r="87" spans="1:4" x14ac:dyDescent="0.2">
      <c r="A87" s="6">
        <v>38716</v>
      </c>
      <c r="B87">
        <v>0.86050000000000004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"/>
  <sheetViews>
    <sheetView workbookViewId="0">
      <selection activeCell="H6" sqref="H6"/>
    </sheetView>
  </sheetViews>
  <sheetFormatPr baseColWidth="10" defaultColWidth="8.83203125" defaultRowHeight="15" outlineLevelCol="1" x14ac:dyDescent="0.2"/>
  <cols>
    <col min="1" max="1" width="13.6640625" customWidth="1"/>
    <col min="2" max="2" width="15.5" customWidth="1"/>
    <col min="3" max="7" width="9.1640625" hidden="1" customWidth="1" outlineLevel="1"/>
    <col min="8" max="8" width="19.33203125" customWidth="1" collapsed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s="5">
        <v>38656</v>
      </c>
    </row>
    <row r="3" spans="1:8" x14ac:dyDescent="0.2">
      <c r="A3" t="s">
        <v>3</v>
      </c>
      <c r="B3" s="5">
        <v>45900</v>
      </c>
    </row>
    <row r="4" spans="1:8" x14ac:dyDescent="0.2">
      <c r="A4" t="s">
        <v>4</v>
      </c>
      <c r="B4" t="s">
        <v>5</v>
      </c>
      <c r="H4" t="s">
        <v>40</v>
      </c>
    </row>
    <row r="6" spans="1:8" x14ac:dyDescent="0.2">
      <c r="A6" t="s">
        <v>6</v>
      </c>
      <c r="B6" t="s">
        <v>13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45900</v>
      </c>
      <c r="B7">
        <v>0.4</v>
      </c>
      <c r="C7">
        <v>0.2</v>
      </c>
      <c r="D7">
        <v>100</v>
      </c>
      <c r="E7">
        <v>94.6</v>
      </c>
      <c r="F7">
        <v>126.1</v>
      </c>
      <c r="G7">
        <v>400.3174603174603</v>
      </c>
    </row>
    <row r="8" spans="1:8" x14ac:dyDescent="0.2">
      <c r="A8" s="6">
        <v>45869</v>
      </c>
      <c r="B8">
        <v>0.2</v>
      </c>
      <c r="C8">
        <v>-9.9999999999999978E-2</v>
      </c>
      <c r="D8">
        <v>-33.333333333333329</v>
      </c>
      <c r="E8">
        <v>-31.5</v>
      </c>
      <c r="F8">
        <v>-286.5</v>
      </c>
      <c r="G8">
        <v>-112.35294117647059</v>
      </c>
    </row>
    <row r="9" spans="1:8" x14ac:dyDescent="0.2">
      <c r="A9" s="6">
        <v>45838</v>
      </c>
      <c r="B9">
        <v>0.3</v>
      </c>
      <c r="C9">
        <v>0.19999999999999998</v>
      </c>
      <c r="D9">
        <v>200</v>
      </c>
      <c r="E9">
        <v>255</v>
      </c>
      <c r="F9">
        <v>318.39999999999998</v>
      </c>
      <c r="G9">
        <v>502.20820189274446</v>
      </c>
    </row>
    <row r="10" spans="1:8" x14ac:dyDescent="0.2">
      <c r="A10" s="6">
        <v>45808</v>
      </c>
      <c r="B10">
        <v>0.1</v>
      </c>
      <c r="C10">
        <v>-0.1</v>
      </c>
      <c r="D10">
        <v>-50</v>
      </c>
      <c r="E10">
        <v>-63.4</v>
      </c>
      <c r="F10">
        <v>-604.79999999999995</v>
      </c>
      <c r="G10">
        <v>-111.71038049501293</v>
      </c>
    </row>
    <row r="11" spans="1:8" x14ac:dyDescent="0.2">
      <c r="A11" s="6">
        <v>45777</v>
      </c>
      <c r="B11">
        <v>0.2</v>
      </c>
      <c r="C11">
        <v>0.30000000000000004</v>
      </c>
      <c r="D11">
        <v>300</v>
      </c>
      <c r="E11">
        <v>541.4</v>
      </c>
      <c r="F11">
        <v>664.6</v>
      </c>
      <c r="G11">
        <v>539.4480519480519</v>
      </c>
    </row>
    <row r="12" spans="1:8" x14ac:dyDescent="0.2">
      <c r="A12" s="6">
        <v>45747</v>
      </c>
      <c r="B12">
        <v>-0.1</v>
      </c>
      <c r="C12">
        <v>-0.30000000000000004</v>
      </c>
      <c r="D12">
        <v>-150</v>
      </c>
      <c r="E12">
        <v>-123.2</v>
      </c>
      <c r="F12">
        <v>-69.400000000000006</v>
      </c>
      <c r="G12">
        <v>-128.99628252788108</v>
      </c>
    </row>
    <row r="13" spans="1:8" x14ac:dyDescent="0.2">
      <c r="A13" s="6">
        <v>45716</v>
      </c>
      <c r="B13">
        <v>0.2</v>
      </c>
      <c r="C13">
        <v>-0.3</v>
      </c>
      <c r="D13">
        <v>-60</v>
      </c>
      <c r="E13">
        <v>-53.8</v>
      </c>
      <c r="F13">
        <v>-81.8</v>
      </c>
      <c r="G13">
        <v>-292.14285714285717</v>
      </c>
    </row>
    <row r="14" spans="1:8" x14ac:dyDescent="0.2">
      <c r="A14" s="6">
        <v>45688</v>
      </c>
      <c r="B14">
        <v>0.5</v>
      </c>
      <c r="C14">
        <v>9.9999999999999978E-2</v>
      </c>
      <c r="D14">
        <v>24.999999999999993</v>
      </c>
      <c r="E14">
        <v>28</v>
      </c>
      <c r="F14">
        <v>-2</v>
      </c>
      <c r="G14">
        <v>-6.666666666666667</v>
      </c>
    </row>
    <row r="15" spans="1:8" x14ac:dyDescent="0.2">
      <c r="A15" s="6">
        <v>45657</v>
      </c>
      <c r="B15">
        <v>0.4</v>
      </c>
      <c r="C15">
        <v>0.10000000000000003</v>
      </c>
      <c r="D15">
        <v>33.33333333333335</v>
      </c>
      <c r="E15">
        <v>30</v>
      </c>
      <c r="F15">
        <v>6.1999999999999993</v>
      </c>
      <c r="G15">
        <v>26.05042016806722</v>
      </c>
    </row>
    <row r="16" spans="1:8" x14ac:dyDescent="0.2">
      <c r="A16" s="6">
        <v>45626</v>
      </c>
      <c r="B16">
        <v>0.3</v>
      </c>
      <c r="C16">
        <v>9.9999999999999978E-2</v>
      </c>
      <c r="D16">
        <v>49.999999999999986</v>
      </c>
      <c r="E16">
        <v>23.8</v>
      </c>
      <c r="F16">
        <v>25</v>
      </c>
      <c r="G16">
        <v>2083.3333333333335</v>
      </c>
    </row>
    <row r="17" spans="1:7" x14ac:dyDescent="0.2">
      <c r="A17" s="6">
        <v>45596</v>
      </c>
      <c r="B17">
        <v>0.2</v>
      </c>
      <c r="C17">
        <v>0</v>
      </c>
      <c r="D17">
        <v>0</v>
      </c>
      <c r="E17">
        <v>-1.2</v>
      </c>
      <c r="F17">
        <v>-28.4</v>
      </c>
      <c r="G17">
        <v>-104.41176470588236</v>
      </c>
    </row>
    <row r="18" spans="1:7" x14ac:dyDescent="0.2">
      <c r="A18" s="6">
        <v>45565</v>
      </c>
      <c r="B18">
        <v>0.2</v>
      </c>
      <c r="C18">
        <v>0</v>
      </c>
      <c r="D18">
        <v>0</v>
      </c>
      <c r="E18">
        <v>27.2</v>
      </c>
      <c r="F18">
        <v>-2.5</v>
      </c>
      <c r="G18">
        <v>-8.4175084175084169</v>
      </c>
    </row>
    <row r="19" spans="1:7" x14ac:dyDescent="0.2">
      <c r="A19" s="6">
        <v>45535</v>
      </c>
      <c r="B19">
        <v>0.2</v>
      </c>
      <c r="C19">
        <v>0.1</v>
      </c>
      <c r="D19">
        <v>100</v>
      </c>
      <c r="E19">
        <v>29.7</v>
      </c>
      <c r="F19">
        <v>-4910.7</v>
      </c>
      <c r="G19">
        <v>-99.398834102501823</v>
      </c>
    </row>
    <row r="20" spans="1:7" x14ac:dyDescent="0.2">
      <c r="A20" s="6">
        <v>45504</v>
      </c>
      <c r="B20">
        <v>0.1</v>
      </c>
      <c r="C20">
        <v>0.1</v>
      </c>
      <c r="D20" t="e">
        <v>#DIV/0!</v>
      </c>
      <c r="E20">
        <v>4940.3999999999996</v>
      </c>
      <c r="F20">
        <v>5047.5999999999995</v>
      </c>
      <c r="G20">
        <v>4708.5820895522384</v>
      </c>
    </row>
    <row r="21" spans="1:7" x14ac:dyDescent="0.2">
      <c r="A21" s="6">
        <v>45473</v>
      </c>
      <c r="B21">
        <v>0</v>
      </c>
      <c r="C21">
        <v>0</v>
      </c>
      <c r="D21" t="e">
        <v>#DIV/0!</v>
      </c>
      <c r="E21">
        <v>-107.2</v>
      </c>
      <c r="F21">
        <v>-20.799999999999997</v>
      </c>
      <c r="G21">
        <v>-24.074074074074066</v>
      </c>
    </row>
    <row r="22" spans="1:7" x14ac:dyDescent="0.2">
      <c r="A22" s="6">
        <v>45443</v>
      </c>
      <c r="B22">
        <v>0</v>
      </c>
      <c r="C22">
        <v>-0.3</v>
      </c>
      <c r="D22">
        <v>-100</v>
      </c>
      <c r="E22">
        <v>-86.4</v>
      </c>
      <c r="F22">
        <v>-69.900000000000006</v>
      </c>
      <c r="G22">
        <v>-423.63636363636368</v>
      </c>
    </row>
    <row r="23" spans="1:7" x14ac:dyDescent="0.2">
      <c r="A23" s="6">
        <v>45412</v>
      </c>
      <c r="B23">
        <v>0.3</v>
      </c>
      <c r="C23">
        <v>0</v>
      </c>
      <c r="D23">
        <v>0</v>
      </c>
      <c r="E23">
        <v>-16.5</v>
      </c>
      <c r="F23">
        <v>-4.5</v>
      </c>
      <c r="G23">
        <v>-37.5</v>
      </c>
    </row>
    <row r="24" spans="1:7" x14ac:dyDescent="0.2">
      <c r="A24" s="6">
        <v>45382</v>
      </c>
      <c r="B24">
        <v>0.3</v>
      </c>
      <c r="C24">
        <v>-0.10000000000000003</v>
      </c>
      <c r="D24">
        <v>-25.000000000000007</v>
      </c>
      <c r="E24">
        <v>-12</v>
      </c>
      <c r="F24">
        <v>-27.6</v>
      </c>
      <c r="G24">
        <v>-176.92307692307693</v>
      </c>
    </row>
    <row r="25" spans="1:7" x14ac:dyDescent="0.2">
      <c r="A25" s="6">
        <v>45351</v>
      </c>
      <c r="B25">
        <v>0.4</v>
      </c>
      <c r="C25">
        <v>0.10000000000000003</v>
      </c>
      <c r="D25">
        <v>33.33333333333335</v>
      </c>
      <c r="E25">
        <v>15.6</v>
      </c>
      <c r="F25">
        <v>-47.5</v>
      </c>
      <c r="G25">
        <v>-75.277337559429469</v>
      </c>
    </row>
    <row r="26" spans="1:7" x14ac:dyDescent="0.2">
      <c r="A26" s="6">
        <v>45322</v>
      </c>
      <c r="B26">
        <v>0.3</v>
      </c>
      <c r="C26">
        <v>9.9999999999999978E-2</v>
      </c>
      <c r="D26">
        <v>49.999999999999986</v>
      </c>
      <c r="E26">
        <v>63.1</v>
      </c>
      <c r="F26">
        <v>14</v>
      </c>
      <c r="G26">
        <v>28.513238289205702</v>
      </c>
    </row>
    <row r="27" spans="1:7" x14ac:dyDescent="0.2">
      <c r="A27" s="6">
        <v>45291</v>
      </c>
      <c r="B27">
        <v>0.2</v>
      </c>
      <c r="C27">
        <v>0.1</v>
      </c>
      <c r="D27">
        <v>100</v>
      </c>
      <c r="E27">
        <v>49.1</v>
      </c>
      <c r="F27">
        <v>-6.2999999999999972</v>
      </c>
      <c r="G27">
        <v>-11.371841155234653</v>
      </c>
    </row>
    <row r="28" spans="1:7" x14ac:dyDescent="0.2">
      <c r="A28" s="6">
        <v>45260</v>
      </c>
      <c r="B28">
        <v>0.1</v>
      </c>
      <c r="C28">
        <v>0</v>
      </c>
      <c r="D28">
        <v>0</v>
      </c>
      <c r="E28">
        <v>55.4</v>
      </c>
      <c r="F28">
        <v>132.9</v>
      </c>
      <c r="G28">
        <v>171.48387096774192</v>
      </c>
    </row>
    <row r="29" spans="1:7" x14ac:dyDescent="0.2">
      <c r="A29" s="6">
        <v>45230</v>
      </c>
      <c r="B29">
        <v>0.1</v>
      </c>
      <c r="C29">
        <v>-0.30000000000000004</v>
      </c>
      <c r="D29">
        <v>-75</v>
      </c>
      <c r="E29">
        <v>-77.5</v>
      </c>
      <c r="F29">
        <v>-58.3</v>
      </c>
      <c r="G29">
        <v>-303.64583333333337</v>
      </c>
    </row>
    <row r="30" spans="1:7" x14ac:dyDescent="0.2">
      <c r="A30" s="6">
        <v>45199</v>
      </c>
      <c r="B30">
        <v>0.4</v>
      </c>
      <c r="C30">
        <v>-9.9999999999999978E-2</v>
      </c>
      <c r="D30">
        <v>-19.999999999999996</v>
      </c>
      <c r="E30">
        <v>-19.2</v>
      </c>
      <c r="F30">
        <v>-213.89999999999998</v>
      </c>
      <c r="G30">
        <v>-109.86132511556239</v>
      </c>
    </row>
    <row r="31" spans="1:7" x14ac:dyDescent="0.2">
      <c r="A31" s="6">
        <v>45169</v>
      </c>
      <c r="B31">
        <v>0.5</v>
      </c>
      <c r="C31">
        <v>0.3</v>
      </c>
      <c r="D31">
        <v>150</v>
      </c>
      <c r="E31">
        <v>194.7</v>
      </c>
      <c r="F31">
        <v>229</v>
      </c>
      <c r="G31">
        <v>667.63848396501464</v>
      </c>
    </row>
    <row r="32" spans="1:7" x14ac:dyDescent="0.2">
      <c r="A32" s="6">
        <v>45138</v>
      </c>
      <c r="B32">
        <v>0.2</v>
      </c>
      <c r="C32">
        <v>-9.9999999999999978E-2</v>
      </c>
      <c r="D32">
        <v>-33.333333333333329</v>
      </c>
      <c r="E32">
        <v>-34.299999999999997</v>
      </c>
      <c r="F32">
        <v>-105</v>
      </c>
      <c r="G32">
        <v>-148.51485148514851</v>
      </c>
    </row>
    <row r="33" spans="1:7" x14ac:dyDescent="0.2">
      <c r="A33" s="6">
        <v>45107</v>
      </c>
      <c r="B33">
        <v>0.3</v>
      </c>
      <c r="C33">
        <v>9.9999999999999978E-2</v>
      </c>
      <c r="D33">
        <v>49.999999999999986</v>
      </c>
      <c r="E33">
        <v>70.7</v>
      </c>
      <c r="F33">
        <v>133.19999999999999</v>
      </c>
      <c r="G33">
        <v>213.11999999999998</v>
      </c>
    </row>
    <row r="34" spans="1:7" x14ac:dyDescent="0.2">
      <c r="A34" s="6">
        <v>45077</v>
      </c>
      <c r="B34">
        <v>0.2</v>
      </c>
      <c r="C34">
        <v>-0.2</v>
      </c>
      <c r="D34">
        <v>-50</v>
      </c>
      <c r="E34">
        <v>-62.5</v>
      </c>
      <c r="F34">
        <v>-689.7</v>
      </c>
      <c r="G34">
        <v>-109.96492346938774</v>
      </c>
    </row>
    <row r="35" spans="1:7" x14ac:dyDescent="0.2">
      <c r="A35" s="6">
        <v>45046</v>
      </c>
      <c r="B35">
        <v>0.4</v>
      </c>
      <c r="C35">
        <v>0.30000000000000004</v>
      </c>
      <c r="D35">
        <v>300</v>
      </c>
      <c r="E35">
        <v>627.20000000000005</v>
      </c>
      <c r="F35">
        <v>710.90000000000009</v>
      </c>
      <c r="G35">
        <v>849.3428912783753</v>
      </c>
    </row>
    <row r="36" spans="1:7" x14ac:dyDescent="0.2">
      <c r="A36" s="6">
        <v>45016</v>
      </c>
      <c r="B36">
        <v>0.1</v>
      </c>
      <c r="C36">
        <v>-0.19999999999999998</v>
      </c>
      <c r="D36">
        <v>-66.666666666666671</v>
      </c>
      <c r="E36">
        <v>-83.7</v>
      </c>
      <c r="F36">
        <v>-45.300000000000004</v>
      </c>
      <c r="G36">
        <v>-117.96875</v>
      </c>
    </row>
    <row r="37" spans="1:7" x14ac:dyDescent="0.2">
      <c r="A37" s="6">
        <v>44985</v>
      </c>
      <c r="B37">
        <v>0.3</v>
      </c>
      <c r="C37">
        <v>-0.3</v>
      </c>
      <c r="D37">
        <v>-50</v>
      </c>
      <c r="E37">
        <v>-38.4</v>
      </c>
      <c r="F37">
        <v>-1585.7</v>
      </c>
      <c r="G37">
        <v>-102.48174238996963</v>
      </c>
    </row>
    <row r="38" spans="1:7" x14ac:dyDescent="0.2">
      <c r="A38" s="6">
        <v>44957</v>
      </c>
      <c r="B38">
        <v>0.6</v>
      </c>
      <c r="C38">
        <v>0.6</v>
      </c>
      <c r="D38" t="e">
        <v>#DIV/0!</v>
      </c>
      <c r="E38">
        <v>1547.3</v>
      </c>
      <c r="F38">
        <v>1633.6</v>
      </c>
      <c r="G38">
        <v>1892.9316338354577</v>
      </c>
    </row>
    <row r="39" spans="1:7" x14ac:dyDescent="0.2">
      <c r="A39" s="6">
        <v>44926</v>
      </c>
      <c r="B39">
        <v>0</v>
      </c>
      <c r="C39">
        <v>-0.2</v>
      </c>
      <c r="D39">
        <v>-100</v>
      </c>
      <c r="E39">
        <v>-86.3</v>
      </c>
      <c r="F39">
        <v>-32.799999999999997</v>
      </c>
      <c r="G39">
        <v>-61.30841121495326</v>
      </c>
    </row>
    <row r="40" spans="1:7" x14ac:dyDescent="0.2">
      <c r="A40" s="6">
        <v>44895</v>
      </c>
      <c r="B40">
        <v>0.2</v>
      </c>
      <c r="C40">
        <v>-0.3</v>
      </c>
      <c r="D40">
        <v>-60</v>
      </c>
      <c r="E40">
        <v>-53.5</v>
      </c>
      <c r="F40">
        <v>-76.7</v>
      </c>
      <c r="G40">
        <v>-330.60344827586209</v>
      </c>
    </row>
    <row r="41" spans="1:7" x14ac:dyDescent="0.2">
      <c r="A41" s="6">
        <v>44865</v>
      </c>
      <c r="B41">
        <v>0.5</v>
      </c>
      <c r="C41">
        <v>9.9999999999999978E-2</v>
      </c>
      <c r="D41">
        <v>24.999999999999993</v>
      </c>
      <c r="E41">
        <v>23.2</v>
      </c>
      <c r="F41">
        <v>-443.6</v>
      </c>
      <c r="G41">
        <v>-95.02999143101971</v>
      </c>
    </row>
    <row r="42" spans="1:7" x14ac:dyDescent="0.2">
      <c r="A42" s="6">
        <v>44834</v>
      </c>
      <c r="B42">
        <v>0.4</v>
      </c>
      <c r="C42">
        <v>0.30000000000000004</v>
      </c>
      <c r="D42">
        <v>300</v>
      </c>
      <c r="E42">
        <v>466.8</v>
      </c>
      <c r="F42">
        <v>198.5</v>
      </c>
      <c r="G42">
        <v>73.98434588147596</v>
      </c>
    </row>
    <row r="43" spans="1:7" x14ac:dyDescent="0.2">
      <c r="A43" s="6">
        <v>44804</v>
      </c>
      <c r="B43">
        <v>0.1</v>
      </c>
      <c r="C43">
        <v>0.1</v>
      </c>
      <c r="D43" t="e">
        <v>#DIV/0!</v>
      </c>
      <c r="E43">
        <v>268.3</v>
      </c>
      <c r="F43">
        <v>371.8</v>
      </c>
      <c r="G43">
        <v>359.22705314009664</v>
      </c>
    </row>
    <row r="44" spans="1:7" x14ac:dyDescent="0.2">
      <c r="A44" s="6">
        <v>44773</v>
      </c>
      <c r="B44">
        <v>0</v>
      </c>
      <c r="C44">
        <v>-1.3</v>
      </c>
      <c r="D44">
        <v>-100</v>
      </c>
      <c r="E44">
        <v>-103.5</v>
      </c>
      <c r="F44">
        <v>-141.1</v>
      </c>
      <c r="G44">
        <v>-375.2659574468085</v>
      </c>
    </row>
    <row r="45" spans="1:7" x14ac:dyDescent="0.2">
      <c r="A45" s="6">
        <v>44742</v>
      </c>
      <c r="B45">
        <v>1.3</v>
      </c>
      <c r="C45">
        <v>0.4</v>
      </c>
      <c r="D45">
        <v>44.444444444444443</v>
      </c>
      <c r="E45">
        <v>37.6</v>
      </c>
      <c r="F45">
        <v>-105.1</v>
      </c>
      <c r="G45">
        <v>-73.651016117729512</v>
      </c>
    </row>
    <row r="46" spans="1:7" x14ac:dyDescent="0.2">
      <c r="A46" s="6">
        <v>44712</v>
      </c>
      <c r="B46">
        <v>0.9</v>
      </c>
      <c r="C46">
        <v>0.5</v>
      </c>
      <c r="D46">
        <v>125</v>
      </c>
      <c r="E46">
        <v>142.69999999999999</v>
      </c>
      <c r="F46">
        <v>205.2</v>
      </c>
      <c r="G46">
        <v>328.32</v>
      </c>
    </row>
    <row r="47" spans="1:7" x14ac:dyDescent="0.2">
      <c r="A47" s="6">
        <v>44681</v>
      </c>
      <c r="B47">
        <v>0.4</v>
      </c>
      <c r="C47">
        <v>-0.6</v>
      </c>
      <c r="D47">
        <v>-60</v>
      </c>
      <c r="E47">
        <v>-62.5</v>
      </c>
      <c r="F47">
        <v>-109.8</v>
      </c>
      <c r="G47">
        <v>-232.13530655391122</v>
      </c>
    </row>
    <row r="48" spans="1:7" x14ac:dyDescent="0.2">
      <c r="A48" s="6">
        <v>44651</v>
      </c>
      <c r="B48">
        <v>1</v>
      </c>
      <c r="C48">
        <v>0.30000000000000004</v>
      </c>
      <c r="D48">
        <v>42.857142857142868</v>
      </c>
      <c r="E48">
        <v>47.3</v>
      </c>
      <c r="F48">
        <v>33.799999999999997</v>
      </c>
      <c r="G48">
        <v>250.37037037037032</v>
      </c>
    </row>
    <row r="49" spans="1:7" x14ac:dyDescent="0.2">
      <c r="A49" s="6">
        <v>44620</v>
      </c>
      <c r="B49">
        <v>0.7</v>
      </c>
      <c r="C49">
        <v>9.9999999999999978E-2</v>
      </c>
      <c r="D49">
        <v>16.666666666666664</v>
      </c>
      <c r="E49">
        <v>13.5</v>
      </c>
      <c r="F49">
        <v>26.5</v>
      </c>
      <c r="G49">
        <v>203.84615384615384</v>
      </c>
    </row>
    <row r="50" spans="1:7" x14ac:dyDescent="0.2">
      <c r="A50" s="6">
        <v>44592</v>
      </c>
      <c r="B50">
        <v>0.6</v>
      </c>
      <c r="C50">
        <v>-9.9999999999999978E-2</v>
      </c>
      <c r="D50">
        <v>-14.285714285714285</v>
      </c>
      <c r="E50">
        <v>-13</v>
      </c>
      <c r="F50">
        <v>1.4000000000000004</v>
      </c>
      <c r="G50">
        <v>9.7222222222222232</v>
      </c>
    </row>
    <row r="51" spans="1:7" x14ac:dyDescent="0.2">
      <c r="A51" s="6">
        <v>44561</v>
      </c>
      <c r="B51">
        <v>0.7</v>
      </c>
      <c r="C51">
        <v>-0.10000000000000009</v>
      </c>
      <c r="D51">
        <v>-12.500000000000011</v>
      </c>
      <c r="E51">
        <v>-14.4</v>
      </c>
      <c r="F51">
        <v>-2.4000000000000004</v>
      </c>
      <c r="G51">
        <v>-20.000000000000004</v>
      </c>
    </row>
    <row r="52" spans="1:7" x14ac:dyDescent="0.2">
      <c r="A52" s="6">
        <v>44530</v>
      </c>
      <c r="B52">
        <v>0.8</v>
      </c>
      <c r="C52">
        <v>-9.9999999999999978E-2</v>
      </c>
      <c r="D52">
        <v>-11.111111111111109</v>
      </c>
      <c r="E52">
        <v>-12</v>
      </c>
      <c r="F52">
        <v>-128.4</v>
      </c>
      <c r="G52">
        <v>-110.30927835051546</v>
      </c>
    </row>
    <row r="53" spans="1:7" x14ac:dyDescent="0.2">
      <c r="A53" s="6">
        <v>44500</v>
      </c>
      <c r="B53">
        <v>0.9</v>
      </c>
      <c r="C53">
        <v>0.5</v>
      </c>
      <c r="D53">
        <v>125</v>
      </c>
      <c r="E53">
        <v>116.4</v>
      </c>
      <c r="F53">
        <v>65.600000000000009</v>
      </c>
      <c r="G53">
        <v>129.13385826771656</v>
      </c>
    </row>
    <row r="54" spans="1:7" x14ac:dyDescent="0.2">
      <c r="A54" s="6">
        <v>44469</v>
      </c>
      <c r="B54">
        <v>0.4</v>
      </c>
      <c r="C54">
        <v>0.10000000000000003</v>
      </c>
      <c r="D54">
        <v>33.33333333333335</v>
      </c>
      <c r="E54">
        <v>50.8</v>
      </c>
      <c r="F54">
        <v>88.4</v>
      </c>
      <c r="G54">
        <v>235.10638297872339</v>
      </c>
    </row>
    <row r="55" spans="1:7" x14ac:dyDescent="0.2">
      <c r="A55" s="6">
        <v>44439</v>
      </c>
      <c r="B55">
        <v>0.3</v>
      </c>
      <c r="C55">
        <v>-0.2</v>
      </c>
      <c r="D55">
        <v>-40</v>
      </c>
      <c r="E55">
        <v>-37.6</v>
      </c>
      <c r="F55">
        <v>8.3999999999999986</v>
      </c>
      <c r="G55">
        <v>18.260869565217387</v>
      </c>
    </row>
    <row r="56" spans="1:7" x14ac:dyDescent="0.2">
      <c r="A56" s="6">
        <v>44408</v>
      </c>
      <c r="B56">
        <v>0.5</v>
      </c>
      <c r="C56">
        <v>-0.4</v>
      </c>
      <c r="D56">
        <v>-44.444444444444443</v>
      </c>
      <c r="E56">
        <v>-46</v>
      </c>
      <c r="F56">
        <v>-74.8</v>
      </c>
      <c r="G56">
        <v>-259.72222222222223</v>
      </c>
    </row>
    <row r="57" spans="1:7" x14ac:dyDescent="0.2">
      <c r="A57" s="6">
        <v>44377</v>
      </c>
      <c r="B57">
        <v>0.9</v>
      </c>
      <c r="C57">
        <v>0.20000000000000007</v>
      </c>
      <c r="D57">
        <v>28.571428571428584</v>
      </c>
      <c r="E57">
        <v>28.8</v>
      </c>
      <c r="F57">
        <v>29.400000000000002</v>
      </c>
      <c r="G57">
        <v>4900</v>
      </c>
    </row>
    <row r="58" spans="1:7" x14ac:dyDescent="0.2">
      <c r="A58" s="6">
        <v>44347</v>
      </c>
      <c r="B58">
        <v>0.7</v>
      </c>
      <c r="C58">
        <v>0</v>
      </c>
      <c r="D58">
        <v>0</v>
      </c>
      <c r="E58">
        <v>-0.6</v>
      </c>
      <c r="F58">
        <v>-39.5</v>
      </c>
      <c r="G58">
        <v>-101.54241645244217</v>
      </c>
    </row>
    <row r="59" spans="1:7" x14ac:dyDescent="0.2">
      <c r="A59" s="6">
        <v>44316</v>
      </c>
      <c r="B59">
        <v>0.7</v>
      </c>
      <c r="C59">
        <v>0.19999999999999996</v>
      </c>
      <c r="D59">
        <v>39.999999999999993</v>
      </c>
      <c r="E59">
        <v>38.9</v>
      </c>
      <c r="F59">
        <v>3</v>
      </c>
      <c r="G59">
        <v>8.3565459610027855</v>
      </c>
    </row>
    <row r="60" spans="1:7" x14ac:dyDescent="0.2">
      <c r="A60" s="6">
        <v>44286</v>
      </c>
      <c r="B60">
        <v>0.5</v>
      </c>
      <c r="C60">
        <v>9.9999999999999978E-2</v>
      </c>
      <c r="D60">
        <v>24.999999999999993</v>
      </c>
      <c r="E60">
        <v>35.9</v>
      </c>
      <c r="F60">
        <v>-21</v>
      </c>
      <c r="G60">
        <v>-36.906854130052722</v>
      </c>
    </row>
    <row r="61" spans="1:7" x14ac:dyDescent="0.2">
      <c r="A61" s="6">
        <v>44255</v>
      </c>
      <c r="B61">
        <v>0.4</v>
      </c>
      <c r="C61">
        <v>0.2</v>
      </c>
      <c r="D61">
        <v>100</v>
      </c>
      <c r="E61">
        <v>56.9</v>
      </c>
      <c r="F61">
        <v>104.69999999999999</v>
      </c>
      <c r="G61">
        <v>219.03765690376568</v>
      </c>
    </row>
    <row r="62" spans="1:7" x14ac:dyDescent="0.2">
      <c r="A62" s="6">
        <v>44227</v>
      </c>
      <c r="B62">
        <v>0.2</v>
      </c>
      <c r="C62">
        <v>-0.2</v>
      </c>
      <c r="D62">
        <v>-50</v>
      </c>
      <c r="E62">
        <v>-47.8</v>
      </c>
      <c r="F62">
        <v>-138.89999999999998</v>
      </c>
      <c r="G62">
        <v>-152.46981339187704</v>
      </c>
    </row>
    <row r="63" spans="1:7" x14ac:dyDescent="0.2">
      <c r="A63" s="6">
        <v>44196</v>
      </c>
      <c r="B63">
        <v>0.4</v>
      </c>
      <c r="C63">
        <v>0.2</v>
      </c>
      <c r="D63">
        <v>100</v>
      </c>
      <c r="E63">
        <v>91.1</v>
      </c>
      <c r="F63">
        <v>7.5</v>
      </c>
      <c r="G63">
        <v>8.9712918660287091</v>
      </c>
    </row>
    <row r="64" spans="1:7" x14ac:dyDescent="0.2">
      <c r="A64" s="6">
        <v>44165</v>
      </c>
      <c r="B64">
        <v>0.2</v>
      </c>
      <c r="C64">
        <v>0.1</v>
      </c>
      <c r="D64">
        <v>100</v>
      </c>
      <c r="E64">
        <v>83.6</v>
      </c>
      <c r="F64">
        <v>136.39999999999998</v>
      </c>
      <c r="G64">
        <v>258.33333333333331</v>
      </c>
    </row>
    <row r="65" spans="1:7" x14ac:dyDescent="0.2">
      <c r="A65" s="6">
        <v>44135</v>
      </c>
      <c r="B65">
        <v>0.1</v>
      </c>
      <c r="C65">
        <v>-0.19999999999999998</v>
      </c>
      <c r="D65">
        <v>-66.666666666666671</v>
      </c>
      <c r="E65">
        <v>-52.8</v>
      </c>
      <c r="F65">
        <v>-23.199999999999996</v>
      </c>
      <c r="G65">
        <v>-78.378378378378358</v>
      </c>
    </row>
    <row r="66" spans="1:7" x14ac:dyDescent="0.2">
      <c r="A66" s="6">
        <v>44104</v>
      </c>
      <c r="B66">
        <v>0.3</v>
      </c>
      <c r="C66">
        <v>-0.10000000000000003</v>
      </c>
      <c r="D66">
        <v>-25.000000000000007</v>
      </c>
      <c r="E66">
        <v>-29.6</v>
      </c>
      <c r="F66">
        <v>-2.8000000000000007</v>
      </c>
      <c r="G66">
        <v>-10.447761194029853</v>
      </c>
    </row>
    <row r="67" spans="1:7" x14ac:dyDescent="0.2">
      <c r="A67" s="6">
        <v>44074</v>
      </c>
      <c r="B67">
        <v>0.4</v>
      </c>
      <c r="C67">
        <v>-9.9999999999999978E-2</v>
      </c>
      <c r="D67">
        <v>-19.999999999999996</v>
      </c>
      <c r="E67">
        <v>-26.8</v>
      </c>
      <c r="F67">
        <v>-31.9</v>
      </c>
      <c r="G67">
        <v>-625.49019607843138</v>
      </c>
    </row>
    <row r="68" spans="1:7" x14ac:dyDescent="0.2">
      <c r="A68" s="6">
        <v>44043</v>
      </c>
      <c r="B68">
        <v>0.5</v>
      </c>
      <c r="C68">
        <v>0</v>
      </c>
      <c r="D68">
        <v>0</v>
      </c>
      <c r="E68">
        <v>5.0999999999999996</v>
      </c>
      <c r="F68">
        <v>-634.5</v>
      </c>
      <c r="G68">
        <v>-99.202626641651023</v>
      </c>
    </row>
    <row r="69" spans="1:7" x14ac:dyDescent="0.2">
      <c r="A69" s="6">
        <v>44012</v>
      </c>
      <c r="B69">
        <v>0.5</v>
      </c>
      <c r="C69">
        <v>0.6</v>
      </c>
      <c r="D69">
        <v>600</v>
      </c>
      <c r="E69">
        <v>639.6</v>
      </c>
      <c r="F69">
        <v>550.9</v>
      </c>
      <c r="G69">
        <v>621.08229988726043</v>
      </c>
    </row>
    <row r="70" spans="1:7" x14ac:dyDescent="0.2">
      <c r="A70" s="6">
        <v>43982</v>
      </c>
      <c r="B70">
        <v>-0.1</v>
      </c>
      <c r="C70">
        <v>0.70000000000000007</v>
      </c>
      <c r="D70">
        <v>87.5</v>
      </c>
      <c r="E70">
        <v>88.7</v>
      </c>
      <c r="F70">
        <v>163.60000000000002</v>
      </c>
      <c r="G70">
        <v>218.4245660881175</v>
      </c>
    </row>
    <row r="71" spans="1:7" x14ac:dyDescent="0.2">
      <c r="A71" s="6">
        <v>43951</v>
      </c>
      <c r="B71">
        <v>-0.8</v>
      </c>
      <c r="C71">
        <v>-0.30000000000000004</v>
      </c>
      <c r="D71">
        <v>-60.000000000000007</v>
      </c>
      <c r="E71">
        <v>-74.900000000000006</v>
      </c>
      <c r="F71">
        <v>979.30000000000007</v>
      </c>
      <c r="G71">
        <v>92.895086321381143</v>
      </c>
    </row>
    <row r="72" spans="1:7" x14ac:dyDescent="0.2">
      <c r="A72" s="6">
        <v>43921</v>
      </c>
      <c r="B72">
        <v>-0.5</v>
      </c>
      <c r="C72">
        <v>-0.5</v>
      </c>
      <c r="D72" t="e">
        <v>#DIV/0!</v>
      </c>
      <c r="E72">
        <v>-1054.2</v>
      </c>
      <c r="F72">
        <v>-978.90000000000009</v>
      </c>
      <c r="G72">
        <v>-1300.0000000000002</v>
      </c>
    </row>
    <row r="73" spans="1:7" x14ac:dyDescent="0.2">
      <c r="A73" s="6">
        <v>43890</v>
      </c>
      <c r="B73">
        <v>0</v>
      </c>
      <c r="C73">
        <v>-0.2</v>
      </c>
      <c r="D73">
        <v>-100</v>
      </c>
      <c r="E73">
        <v>-75.3</v>
      </c>
      <c r="F73">
        <v>-41.3</v>
      </c>
      <c r="G73">
        <v>-121.47058823529412</v>
      </c>
    </row>
    <row r="74" spans="1:7" x14ac:dyDescent="0.2">
      <c r="A74" s="6">
        <v>43861</v>
      </c>
      <c r="B74">
        <v>0.2</v>
      </c>
      <c r="C74">
        <v>-9.9999999999999978E-2</v>
      </c>
      <c r="D74">
        <v>-33.333333333333329</v>
      </c>
      <c r="E74">
        <v>-34</v>
      </c>
      <c r="F74">
        <v>-37.4</v>
      </c>
      <c r="G74">
        <v>-1100</v>
      </c>
    </row>
    <row r="75" spans="1:7" x14ac:dyDescent="0.2">
      <c r="A75" s="6">
        <v>43830</v>
      </c>
      <c r="B75">
        <v>0.3</v>
      </c>
      <c r="C75">
        <v>0</v>
      </c>
      <c r="D75">
        <v>0</v>
      </c>
      <c r="E75">
        <v>3.4</v>
      </c>
      <c r="F75">
        <v>3.8</v>
      </c>
      <c r="G75">
        <v>950</v>
      </c>
    </row>
    <row r="76" spans="1:7" x14ac:dyDescent="0.2">
      <c r="A76" s="6">
        <v>43799</v>
      </c>
      <c r="B76">
        <v>0.3</v>
      </c>
      <c r="C76">
        <v>0</v>
      </c>
      <c r="D76">
        <v>0</v>
      </c>
      <c r="E76">
        <v>-0.4</v>
      </c>
      <c r="F76">
        <v>-84.100000000000009</v>
      </c>
      <c r="G76">
        <v>-100.4778972520908</v>
      </c>
    </row>
    <row r="77" spans="1:7" x14ac:dyDescent="0.2">
      <c r="A77" s="6">
        <v>43769</v>
      </c>
      <c r="B77">
        <v>0.3</v>
      </c>
      <c r="C77">
        <v>9.9999999999999978E-2</v>
      </c>
      <c r="D77">
        <v>49.999999999999986</v>
      </c>
      <c r="E77">
        <v>83.7</v>
      </c>
      <c r="F77">
        <v>15.5</v>
      </c>
      <c r="G77">
        <v>22.727272727272727</v>
      </c>
    </row>
    <row r="78" spans="1:7" x14ac:dyDescent="0.2">
      <c r="A78" s="6">
        <v>43738</v>
      </c>
      <c r="B78">
        <v>0.2</v>
      </c>
      <c r="C78">
        <v>0.1</v>
      </c>
      <c r="D78">
        <v>100</v>
      </c>
      <c r="E78">
        <v>68.2</v>
      </c>
      <c r="F78">
        <v>128.6</v>
      </c>
      <c r="G78">
        <v>212.91390728476821</v>
      </c>
    </row>
    <row r="79" spans="1:7" x14ac:dyDescent="0.2">
      <c r="A79" s="6">
        <v>43708</v>
      </c>
      <c r="B79">
        <v>0.1</v>
      </c>
      <c r="C79">
        <v>-0.1</v>
      </c>
      <c r="D79">
        <v>-50</v>
      </c>
      <c r="E79">
        <v>-60.4</v>
      </c>
      <c r="F79">
        <v>-870.3</v>
      </c>
      <c r="G79">
        <v>-107.45771082849735</v>
      </c>
    </row>
    <row r="80" spans="1:7" x14ac:dyDescent="0.2">
      <c r="A80" s="6">
        <v>43677</v>
      </c>
      <c r="B80">
        <v>0.2</v>
      </c>
      <c r="C80">
        <v>0.2</v>
      </c>
      <c r="D80" t="e">
        <v>#DIV/0!</v>
      </c>
      <c r="E80">
        <v>809.9</v>
      </c>
      <c r="F80">
        <v>1041.5999999999999</v>
      </c>
      <c r="G80">
        <v>449.54682779456192</v>
      </c>
    </row>
    <row r="81" spans="1:7" x14ac:dyDescent="0.2">
      <c r="A81" s="6">
        <v>43646</v>
      </c>
      <c r="B81">
        <v>0</v>
      </c>
      <c r="C81">
        <v>0</v>
      </c>
      <c r="D81" t="e">
        <v>#DIV/0!</v>
      </c>
      <c r="E81">
        <v>-231.7</v>
      </c>
      <c r="F81">
        <v>-138.29999999999998</v>
      </c>
      <c r="G81">
        <v>-148.07280513918627</v>
      </c>
    </row>
    <row r="82" spans="1:7" x14ac:dyDescent="0.2">
      <c r="A82" s="6">
        <v>43616</v>
      </c>
      <c r="B82">
        <v>0</v>
      </c>
      <c r="C82">
        <v>-0.4</v>
      </c>
      <c r="D82">
        <v>-100</v>
      </c>
      <c r="E82">
        <v>-93.4</v>
      </c>
      <c r="F82">
        <v>-92.800000000000011</v>
      </c>
      <c r="G82">
        <v>-15466.66666666667</v>
      </c>
    </row>
    <row r="83" spans="1:7" x14ac:dyDescent="0.2">
      <c r="A83" s="6">
        <v>43585</v>
      </c>
      <c r="B83">
        <v>0.4</v>
      </c>
      <c r="C83">
        <v>0</v>
      </c>
      <c r="D83">
        <v>0</v>
      </c>
      <c r="E83">
        <v>-0.6</v>
      </c>
      <c r="F83">
        <v>-26.6</v>
      </c>
      <c r="G83">
        <v>-102.30769230769231</v>
      </c>
    </row>
    <row r="84" spans="1:7" x14ac:dyDescent="0.2">
      <c r="A84" s="6">
        <v>43555</v>
      </c>
      <c r="B84">
        <v>0.4</v>
      </c>
      <c r="C84">
        <v>0.10000000000000003</v>
      </c>
      <c r="D84">
        <v>33.33333333333335</v>
      </c>
      <c r="E84">
        <v>26</v>
      </c>
      <c r="F84">
        <v>-442.2</v>
      </c>
      <c r="G84">
        <v>-94.446817599316532</v>
      </c>
    </row>
    <row r="85" spans="1:7" x14ac:dyDescent="0.2">
      <c r="A85" s="6">
        <v>43524</v>
      </c>
      <c r="B85">
        <v>0.3</v>
      </c>
      <c r="C85">
        <v>0.4</v>
      </c>
      <c r="D85">
        <v>400</v>
      </c>
      <c r="E85">
        <v>468.2</v>
      </c>
      <c r="F85">
        <v>687.2</v>
      </c>
      <c r="G85">
        <v>313.78995433789953</v>
      </c>
    </row>
    <row r="86" spans="1:7" x14ac:dyDescent="0.2">
      <c r="A86" s="6">
        <v>43496</v>
      </c>
      <c r="B86">
        <v>-0.1</v>
      </c>
      <c r="C86">
        <v>-0.2</v>
      </c>
      <c r="D86">
        <v>-200</v>
      </c>
      <c r="E86">
        <v>-219</v>
      </c>
      <c r="F86">
        <v>-416.3</v>
      </c>
      <c r="G86">
        <v>-210.99847947288393</v>
      </c>
    </row>
    <row r="87" spans="1:7" x14ac:dyDescent="0.2">
      <c r="A87" s="6">
        <v>43465</v>
      </c>
      <c r="B87">
        <v>0.1</v>
      </c>
      <c r="C87">
        <v>0.2</v>
      </c>
      <c r="D87">
        <v>200</v>
      </c>
      <c r="E87">
        <v>197.3</v>
      </c>
      <c r="F87">
        <v>327.39999999999998</v>
      </c>
      <c r="G87">
        <v>251.65257494235203</v>
      </c>
    </row>
    <row r="88" spans="1:7" x14ac:dyDescent="0.2">
      <c r="A88" s="6">
        <v>43434</v>
      </c>
      <c r="B88">
        <v>-0.1</v>
      </c>
      <c r="C88">
        <v>-0.30000000000000004</v>
      </c>
      <c r="D88">
        <v>-150</v>
      </c>
      <c r="E88">
        <v>-130.1</v>
      </c>
      <c r="F88">
        <v>-143.5</v>
      </c>
      <c r="G88">
        <v>-1070.8955223880596</v>
      </c>
    </row>
    <row r="89" spans="1:7" x14ac:dyDescent="0.2">
      <c r="A89" s="6">
        <v>43404</v>
      </c>
      <c r="B89">
        <v>0.2</v>
      </c>
      <c r="C89">
        <v>0</v>
      </c>
      <c r="D89">
        <v>0</v>
      </c>
      <c r="E89">
        <v>13.4</v>
      </c>
      <c r="F89">
        <v>-2</v>
      </c>
      <c r="G89">
        <v>-12.987012987012987</v>
      </c>
    </row>
    <row r="90" spans="1:7" x14ac:dyDescent="0.2">
      <c r="A90" s="6">
        <v>43373</v>
      </c>
      <c r="B90">
        <v>0.2</v>
      </c>
      <c r="C90">
        <v>0</v>
      </c>
      <c r="D90">
        <v>0</v>
      </c>
      <c r="E90">
        <v>15.4</v>
      </c>
      <c r="F90">
        <v>-113.5</v>
      </c>
      <c r="G90">
        <v>-88.052754072924742</v>
      </c>
    </row>
    <row r="91" spans="1:7" x14ac:dyDescent="0.2">
      <c r="A91" s="6">
        <v>43343</v>
      </c>
      <c r="B91">
        <v>0.2</v>
      </c>
      <c r="C91">
        <v>0.1</v>
      </c>
      <c r="D91">
        <v>100</v>
      </c>
      <c r="E91">
        <v>128.9</v>
      </c>
      <c r="F91">
        <v>142.30000000000001</v>
      </c>
      <c r="G91">
        <v>1061.9402985074628</v>
      </c>
    </row>
    <row r="92" spans="1:7" x14ac:dyDescent="0.2">
      <c r="A92" s="6">
        <v>43312</v>
      </c>
      <c r="B92">
        <v>0.1</v>
      </c>
      <c r="C92">
        <v>0</v>
      </c>
      <c r="D92">
        <v>0</v>
      </c>
      <c r="E92">
        <v>-13.4</v>
      </c>
      <c r="F92">
        <v>46.7</v>
      </c>
      <c r="G92">
        <v>77.703826955074874</v>
      </c>
    </row>
    <row r="93" spans="1:7" x14ac:dyDescent="0.2">
      <c r="A93" s="6">
        <v>43281</v>
      </c>
      <c r="B93">
        <v>0.1</v>
      </c>
      <c r="C93">
        <v>-0.1</v>
      </c>
      <c r="D93">
        <v>-50</v>
      </c>
      <c r="E93">
        <v>-60.1</v>
      </c>
      <c r="F93">
        <v>-46.8</v>
      </c>
      <c r="G93">
        <v>-351.87969924812029</v>
      </c>
    </row>
    <row r="94" spans="1:7" x14ac:dyDescent="0.2">
      <c r="A94" s="6">
        <v>43251</v>
      </c>
      <c r="B94">
        <v>0.2</v>
      </c>
      <c r="C94">
        <v>-9.9999999999999978E-2</v>
      </c>
      <c r="D94">
        <v>-33.333333333333329</v>
      </c>
      <c r="E94">
        <v>-13.3</v>
      </c>
      <c r="F94">
        <v>-1267.5999999999999</v>
      </c>
      <c r="G94">
        <v>-101.06035238778601</v>
      </c>
    </row>
    <row r="95" spans="1:7" x14ac:dyDescent="0.2">
      <c r="A95" s="6">
        <v>43220</v>
      </c>
      <c r="B95">
        <v>0.3</v>
      </c>
      <c r="C95">
        <v>0.3</v>
      </c>
      <c r="D95" t="e">
        <v>#DIV/0!</v>
      </c>
      <c r="E95">
        <v>1254.3</v>
      </c>
      <c r="F95">
        <v>1347.2</v>
      </c>
      <c r="G95">
        <v>1450.1614639397201</v>
      </c>
    </row>
    <row r="96" spans="1:7" x14ac:dyDescent="0.2">
      <c r="A96" s="6">
        <v>43190</v>
      </c>
      <c r="B96">
        <v>0</v>
      </c>
      <c r="C96">
        <v>-0.3</v>
      </c>
      <c r="D96">
        <v>-100</v>
      </c>
      <c r="E96">
        <v>-92.9</v>
      </c>
      <c r="F96">
        <v>-56.2</v>
      </c>
      <c r="G96">
        <v>-153.13351498637601</v>
      </c>
    </row>
    <row r="97" spans="1:7" x14ac:dyDescent="0.2">
      <c r="A97" s="6">
        <v>43159</v>
      </c>
      <c r="B97">
        <v>0.3</v>
      </c>
      <c r="C97">
        <v>-0.10000000000000003</v>
      </c>
      <c r="D97">
        <v>-25.000000000000007</v>
      </c>
      <c r="E97">
        <v>-36.700000000000003</v>
      </c>
      <c r="F97">
        <v>-138.60000000000002</v>
      </c>
      <c r="G97">
        <v>-136.01570166830226</v>
      </c>
    </row>
    <row r="98" spans="1:7" x14ac:dyDescent="0.2">
      <c r="A98" s="6">
        <v>43131</v>
      </c>
      <c r="B98">
        <v>0.4</v>
      </c>
      <c r="C98">
        <v>0.2</v>
      </c>
      <c r="D98">
        <v>100</v>
      </c>
      <c r="E98">
        <v>101.9</v>
      </c>
      <c r="F98">
        <v>122.9</v>
      </c>
      <c r="G98">
        <v>585.23809523809518</v>
      </c>
    </row>
    <row r="99" spans="1:7" x14ac:dyDescent="0.2">
      <c r="A99" s="6">
        <v>43100</v>
      </c>
      <c r="B99">
        <v>0.2</v>
      </c>
      <c r="C99">
        <v>-9.9999999999999978E-2</v>
      </c>
      <c r="D99">
        <v>-33.333333333333329</v>
      </c>
      <c r="E99">
        <v>-21</v>
      </c>
      <c r="F99">
        <v>-265.2</v>
      </c>
      <c r="G99">
        <v>-108.59950859950861</v>
      </c>
    </row>
    <row r="100" spans="1:7" x14ac:dyDescent="0.2">
      <c r="A100" s="6">
        <v>43069</v>
      </c>
      <c r="B100">
        <v>0.3</v>
      </c>
      <c r="C100">
        <v>0.19999999999999998</v>
      </c>
      <c r="D100">
        <v>200</v>
      </c>
      <c r="E100">
        <v>244.2</v>
      </c>
      <c r="F100">
        <v>329</v>
      </c>
      <c r="G100">
        <v>387.97169811320754</v>
      </c>
    </row>
    <row r="101" spans="1:7" x14ac:dyDescent="0.2">
      <c r="A101" s="6">
        <v>43039</v>
      </c>
      <c r="B101">
        <v>0.1</v>
      </c>
      <c r="C101">
        <v>-0.4</v>
      </c>
      <c r="D101">
        <v>-80</v>
      </c>
      <c r="E101">
        <v>-84.8</v>
      </c>
      <c r="F101">
        <v>-117.5</v>
      </c>
      <c r="G101">
        <v>-359.32721712538222</v>
      </c>
    </row>
    <row r="102" spans="1:7" x14ac:dyDescent="0.2">
      <c r="A102" s="6">
        <v>43008</v>
      </c>
      <c r="B102">
        <v>0.5</v>
      </c>
      <c r="C102">
        <v>9.9999999999999978E-2</v>
      </c>
      <c r="D102">
        <v>24.999999999999993</v>
      </c>
      <c r="E102">
        <v>32.700000000000003</v>
      </c>
      <c r="F102">
        <v>-1041.7</v>
      </c>
      <c r="G102">
        <v>-96.956440804169759</v>
      </c>
    </row>
    <row r="103" spans="1:7" x14ac:dyDescent="0.2">
      <c r="A103" s="6">
        <v>42978</v>
      </c>
      <c r="B103">
        <v>0.4</v>
      </c>
      <c r="C103">
        <v>0.4</v>
      </c>
      <c r="D103" t="e">
        <v>#DIV/0!</v>
      </c>
      <c r="E103">
        <v>1074.4000000000001</v>
      </c>
      <c r="F103">
        <v>1124.1000000000001</v>
      </c>
      <c r="G103">
        <v>2261.770623742455</v>
      </c>
    </row>
    <row r="104" spans="1:7" x14ac:dyDescent="0.2">
      <c r="A104" s="6">
        <v>42947</v>
      </c>
      <c r="B104">
        <v>0</v>
      </c>
      <c r="C104">
        <v>-0.1</v>
      </c>
      <c r="D104">
        <v>-100</v>
      </c>
      <c r="E104">
        <v>-49.7</v>
      </c>
      <c r="F104">
        <v>-233.89999999999998</v>
      </c>
      <c r="G104">
        <v>-126.98154180238869</v>
      </c>
    </row>
    <row r="105" spans="1:7" x14ac:dyDescent="0.2">
      <c r="A105" s="6">
        <v>42916</v>
      </c>
      <c r="B105">
        <v>0.1</v>
      </c>
      <c r="C105">
        <v>0.2</v>
      </c>
      <c r="D105">
        <v>200</v>
      </c>
      <c r="E105">
        <v>184.2</v>
      </c>
      <c r="F105">
        <v>346.9</v>
      </c>
      <c r="G105">
        <v>213.21450522433929</v>
      </c>
    </row>
    <row r="106" spans="1:7" x14ac:dyDescent="0.2">
      <c r="A106" s="6">
        <v>42886</v>
      </c>
      <c r="B106">
        <v>-0.1</v>
      </c>
      <c r="C106">
        <v>-0.2</v>
      </c>
      <c r="D106">
        <v>-200</v>
      </c>
      <c r="E106">
        <v>-162.69999999999999</v>
      </c>
      <c r="F106">
        <v>-526.79999999999995</v>
      </c>
      <c r="G106">
        <v>-144.68552595440809</v>
      </c>
    </row>
    <row r="107" spans="1:7" x14ac:dyDescent="0.2">
      <c r="A107" s="6">
        <v>42855</v>
      </c>
      <c r="B107">
        <v>0.1</v>
      </c>
      <c r="C107">
        <v>0.1</v>
      </c>
      <c r="D107" t="e">
        <v>#DIV/0!</v>
      </c>
      <c r="E107">
        <v>364.1</v>
      </c>
      <c r="F107">
        <v>493.40000000000003</v>
      </c>
      <c r="G107">
        <v>381.59319412219639</v>
      </c>
    </row>
    <row r="108" spans="1:7" x14ac:dyDescent="0.2">
      <c r="A108" s="6">
        <v>42825</v>
      </c>
      <c r="B108">
        <v>0</v>
      </c>
      <c r="C108">
        <v>-0.2</v>
      </c>
      <c r="D108">
        <v>-100</v>
      </c>
      <c r="E108">
        <v>-129.30000000000001</v>
      </c>
      <c r="F108">
        <v>-68.700000000000017</v>
      </c>
      <c r="G108">
        <v>-113.36633663366339</v>
      </c>
    </row>
    <row r="109" spans="1:7" x14ac:dyDescent="0.2">
      <c r="A109" s="6">
        <v>42794</v>
      </c>
      <c r="B109">
        <v>0.2</v>
      </c>
      <c r="C109">
        <v>-0.2</v>
      </c>
      <c r="D109">
        <v>-50</v>
      </c>
      <c r="E109">
        <v>-60.6</v>
      </c>
      <c r="F109">
        <v>-120.80000000000001</v>
      </c>
      <c r="G109">
        <v>-200.66445182724254</v>
      </c>
    </row>
    <row r="110" spans="1:7" x14ac:dyDescent="0.2">
      <c r="A110" s="6">
        <v>42766</v>
      </c>
      <c r="B110">
        <v>0.4</v>
      </c>
      <c r="C110">
        <v>0.10000000000000003</v>
      </c>
      <c r="D110">
        <v>33.33333333333335</v>
      </c>
      <c r="E110">
        <v>60.2</v>
      </c>
      <c r="F110">
        <v>-53.899999999999991</v>
      </c>
      <c r="G110">
        <v>-47.239263803680977</v>
      </c>
    </row>
    <row r="111" spans="1:7" x14ac:dyDescent="0.2">
      <c r="A111" s="6">
        <v>42735</v>
      </c>
      <c r="B111">
        <v>0.3</v>
      </c>
      <c r="C111">
        <v>0.19999999999999998</v>
      </c>
      <c r="D111">
        <v>200</v>
      </c>
      <c r="E111">
        <v>114.1</v>
      </c>
      <c r="F111">
        <v>163.80000000000001</v>
      </c>
      <c r="G111">
        <v>329.57746478873241</v>
      </c>
    </row>
    <row r="112" spans="1:7" x14ac:dyDescent="0.2">
      <c r="A112" s="6">
        <v>42704</v>
      </c>
      <c r="B112">
        <v>0.1</v>
      </c>
      <c r="C112">
        <v>-0.1</v>
      </c>
      <c r="D112">
        <v>-50</v>
      </c>
      <c r="E112">
        <v>-49.7</v>
      </c>
      <c r="F112">
        <v>-39</v>
      </c>
      <c r="G112">
        <v>-364.48598130841123</v>
      </c>
    </row>
    <row r="113" spans="1:7" x14ac:dyDescent="0.2">
      <c r="A113" s="6">
        <v>42674</v>
      </c>
      <c r="B113">
        <v>0.2</v>
      </c>
      <c r="C113">
        <v>-9.9999999999999978E-2</v>
      </c>
      <c r="D113">
        <v>-33.333333333333329</v>
      </c>
      <c r="E113">
        <v>-10.7</v>
      </c>
      <c r="F113">
        <v>-52.599999999999994</v>
      </c>
      <c r="G113">
        <v>-125.53699284009545</v>
      </c>
    </row>
    <row r="114" spans="1:7" x14ac:dyDescent="0.2">
      <c r="A114" s="6">
        <v>42643</v>
      </c>
      <c r="B114">
        <v>0.3</v>
      </c>
      <c r="C114">
        <v>9.9999999999999978E-2</v>
      </c>
      <c r="D114">
        <v>49.999999999999986</v>
      </c>
      <c r="E114">
        <v>41.9</v>
      </c>
      <c r="F114">
        <v>-425.20000000000005</v>
      </c>
      <c r="G114">
        <v>-91.02975808178121</v>
      </c>
    </row>
    <row r="115" spans="1:7" x14ac:dyDescent="0.2">
      <c r="A115" s="6">
        <v>42613</v>
      </c>
      <c r="B115">
        <v>0.2</v>
      </c>
      <c r="C115">
        <v>0.30000000000000004</v>
      </c>
      <c r="D115">
        <v>300</v>
      </c>
      <c r="E115">
        <v>467.1</v>
      </c>
      <c r="F115">
        <v>585.20000000000005</v>
      </c>
      <c r="G115">
        <v>495.51227773073674</v>
      </c>
    </row>
    <row r="116" spans="1:7" x14ac:dyDescent="0.2">
      <c r="A116" s="6">
        <v>42582</v>
      </c>
      <c r="B116">
        <v>-0.1</v>
      </c>
      <c r="C116">
        <v>-0.4</v>
      </c>
      <c r="D116">
        <v>-133.33333333333334</v>
      </c>
      <c r="E116">
        <v>-118.1</v>
      </c>
      <c r="F116">
        <v>-135.5</v>
      </c>
      <c r="G116">
        <v>-778.73563218390814</v>
      </c>
    </row>
    <row r="117" spans="1:7" x14ac:dyDescent="0.2">
      <c r="A117" s="6">
        <v>42551</v>
      </c>
      <c r="B117">
        <v>0.3</v>
      </c>
      <c r="C117">
        <v>9.9999999999999978E-2</v>
      </c>
      <c r="D117">
        <v>49.999999999999986</v>
      </c>
      <c r="E117">
        <v>17.399999999999999</v>
      </c>
      <c r="F117">
        <v>55.699999999999996</v>
      </c>
      <c r="G117">
        <v>145.43080939947782</v>
      </c>
    </row>
    <row r="118" spans="1:7" x14ac:dyDescent="0.2">
      <c r="A118" s="6">
        <v>42521</v>
      </c>
      <c r="B118">
        <v>0.2</v>
      </c>
      <c r="C118">
        <v>-0.2</v>
      </c>
      <c r="D118">
        <v>-50</v>
      </c>
      <c r="E118">
        <v>-38.299999999999997</v>
      </c>
      <c r="F118">
        <v>-60.5</v>
      </c>
      <c r="G118">
        <v>-272.52252252252254</v>
      </c>
    </row>
    <row r="119" spans="1:7" x14ac:dyDescent="0.2">
      <c r="A119" s="6">
        <v>42490</v>
      </c>
      <c r="B119">
        <v>0.4</v>
      </c>
      <c r="C119">
        <v>0.10000000000000003</v>
      </c>
      <c r="D119">
        <v>33.33333333333335</v>
      </c>
      <c r="E119">
        <v>22.2</v>
      </c>
      <c r="F119">
        <v>-313.60000000000002</v>
      </c>
      <c r="G119">
        <v>-93.388921977367488</v>
      </c>
    </row>
    <row r="120" spans="1:7" x14ac:dyDescent="0.2">
      <c r="A120" s="6">
        <v>42460</v>
      </c>
      <c r="B120">
        <v>0.3</v>
      </c>
      <c r="C120">
        <v>0.4</v>
      </c>
      <c r="D120">
        <v>400</v>
      </c>
      <c r="E120">
        <v>335.8</v>
      </c>
      <c r="F120">
        <v>525.79999999999995</v>
      </c>
      <c r="G120">
        <v>276.73684210526312</v>
      </c>
    </row>
    <row r="121" spans="1:7" x14ac:dyDescent="0.2">
      <c r="A121" s="6">
        <v>42429</v>
      </c>
      <c r="B121">
        <v>-0.1</v>
      </c>
      <c r="C121">
        <v>-0.1</v>
      </c>
      <c r="D121" t="e">
        <v>#DIV/0!</v>
      </c>
      <c r="E121">
        <v>-190</v>
      </c>
      <c r="F121">
        <v>-247.4</v>
      </c>
      <c r="G121">
        <v>-431.01045296167246</v>
      </c>
    </row>
    <row r="122" spans="1:7" x14ac:dyDescent="0.2">
      <c r="A122" s="6">
        <v>42400</v>
      </c>
      <c r="B122">
        <v>0</v>
      </c>
      <c r="C122">
        <v>0.1</v>
      </c>
      <c r="D122">
        <v>100</v>
      </c>
      <c r="E122">
        <v>57.4</v>
      </c>
      <c r="F122">
        <v>247.4</v>
      </c>
      <c r="G122">
        <v>130.21052631578948</v>
      </c>
    </row>
    <row r="123" spans="1:7" x14ac:dyDescent="0.2">
      <c r="A123" s="6">
        <v>42369</v>
      </c>
      <c r="B123">
        <v>-0.1</v>
      </c>
      <c r="C123">
        <v>-0.2</v>
      </c>
      <c r="D123">
        <v>-200</v>
      </c>
      <c r="E123">
        <v>-190</v>
      </c>
      <c r="F123">
        <v>-210.7</v>
      </c>
      <c r="G123">
        <v>-1017.8743961352658</v>
      </c>
    </row>
    <row r="124" spans="1:7" x14ac:dyDescent="0.2">
      <c r="A124" s="6">
        <v>42338</v>
      </c>
      <c r="B124">
        <v>0.1</v>
      </c>
      <c r="C124">
        <v>0</v>
      </c>
      <c r="D124">
        <v>0</v>
      </c>
      <c r="E124">
        <v>20.7</v>
      </c>
      <c r="F124">
        <v>-123.3</v>
      </c>
      <c r="G124">
        <v>-85.625</v>
      </c>
    </row>
    <row r="125" spans="1:7" x14ac:dyDescent="0.2">
      <c r="A125" s="6">
        <v>42308</v>
      </c>
      <c r="B125">
        <v>0.1</v>
      </c>
      <c r="C125">
        <v>0.30000000000000004</v>
      </c>
      <c r="D125">
        <v>150</v>
      </c>
      <c r="E125">
        <v>144</v>
      </c>
      <c r="F125">
        <v>53558.3</v>
      </c>
      <c r="G125">
        <v>100.2695907275767</v>
      </c>
    </row>
    <row r="126" spans="1:7" x14ac:dyDescent="0.2">
      <c r="A126" s="6">
        <v>42277</v>
      </c>
      <c r="B126">
        <v>-0.2</v>
      </c>
      <c r="C126">
        <v>-0.2</v>
      </c>
      <c r="D126" t="e">
        <v>#DIV/0!</v>
      </c>
      <c r="E126">
        <v>-53414.3</v>
      </c>
      <c r="F126">
        <v>-53314</v>
      </c>
      <c r="G126">
        <v>-53154.536390827518</v>
      </c>
    </row>
    <row r="127" spans="1:7" x14ac:dyDescent="0.2">
      <c r="A127" s="6">
        <v>42247</v>
      </c>
      <c r="B127">
        <v>0</v>
      </c>
      <c r="C127">
        <v>-0.2</v>
      </c>
      <c r="D127">
        <v>-100</v>
      </c>
      <c r="E127">
        <v>-100.3</v>
      </c>
      <c r="F127">
        <v>-57.599999999999994</v>
      </c>
      <c r="G127">
        <v>-134.89461358313815</v>
      </c>
    </row>
    <row r="128" spans="1:7" x14ac:dyDescent="0.2">
      <c r="A128" s="6">
        <v>42216</v>
      </c>
      <c r="B128">
        <v>0.2</v>
      </c>
      <c r="C128">
        <v>-9.9999999999999978E-2</v>
      </c>
      <c r="D128">
        <v>-33.333333333333329</v>
      </c>
      <c r="E128">
        <v>-42.7</v>
      </c>
      <c r="F128">
        <v>-26.6</v>
      </c>
      <c r="G128">
        <v>-165.21739130434781</v>
      </c>
    </row>
    <row r="129" spans="1:7" x14ac:dyDescent="0.2">
      <c r="A129" s="6">
        <v>42185</v>
      </c>
      <c r="B129">
        <v>0.3</v>
      </c>
      <c r="C129">
        <v>0</v>
      </c>
      <c r="D129">
        <v>0</v>
      </c>
      <c r="E129">
        <v>-16.100000000000001</v>
      </c>
      <c r="F129">
        <v>-232.4</v>
      </c>
      <c r="G129">
        <v>-107.44336569579288</v>
      </c>
    </row>
    <row r="130" spans="1:7" x14ac:dyDescent="0.2">
      <c r="A130" s="6">
        <v>42155</v>
      </c>
      <c r="B130">
        <v>0.3</v>
      </c>
      <c r="C130">
        <v>0.19999999999999998</v>
      </c>
      <c r="D130">
        <v>200</v>
      </c>
      <c r="E130">
        <v>216.3</v>
      </c>
      <c r="F130">
        <v>277.60000000000002</v>
      </c>
      <c r="G130">
        <v>452.8548123980425</v>
      </c>
    </row>
    <row r="131" spans="1:7" x14ac:dyDescent="0.2">
      <c r="A131" s="6">
        <v>42124</v>
      </c>
      <c r="B131">
        <v>0.1</v>
      </c>
      <c r="C131">
        <v>-0.19999999999999998</v>
      </c>
      <c r="D131">
        <v>-66.666666666666671</v>
      </c>
      <c r="E131">
        <v>-61.3</v>
      </c>
      <c r="F131">
        <v>-67.599999999999994</v>
      </c>
      <c r="G131">
        <v>-1073.015873015873</v>
      </c>
    </row>
    <row r="132" spans="1:7" x14ac:dyDescent="0.2">
      <c r="A132" s="6">
        <v>42094</v>
      </c>
      <c r="B132">
        <v>0.3</v>
      </c>
      <c r="C132">
        <v>0</v>
      </c>
      <c r="D132">
        <v>0</v>
      </c>
      <c r="E132">
        <v>6.3</v>
      </c>
      <c r="F132">
        <v>-133.5</v>
      </c>
      <c r="G132">
        <v>-95.493562231759654</v>
      </c>
    </row>
    <row r="133" spans="1:7" x14ac:dyDescent="0.2">
      <c r="A133" s="6">
        <v>42063</v>
      </c>
      <c r="B133">
        <v>0.3</v>
      </c>
      <c r="C133">
        <v>0.89999999999999991</v>
      </c>
      <c r="D133">
        <v>149.99999999999997</v>
      </c>
      <c r="E133">
        <v>139.80000000000001</v>
      </c>
      <c r="F133">
        <v>246.3</v>
      </c>
      <c r="G133">
        <v>231.26760563380282</v>
      </c>
    </row>
    <row r="134" spans="1:7" x14ac:dyDescent="0.2">
      <c r="A134" s="6">
        <v>42035</v>
      </c>
      <c r="B134">
        <v>-0.6</v>
      </c>
      <c r="C134">
        <v>-0.3</v>
      </c>
      <c r="D134">
        <v>-100</v>
      </c>
      <c r="E134">
        <v>-106.5</v>
      </c>
      <c r="F134">
        <v>-42.7</v>
      </c>
      <c r="G134">
        <v>-66.927899686520377</v>
      </c>
    </row>
    <row r="135" spans="1:7" x14ac:dyDescent="0.2">
      <c r="A135" s="6">
        <v>42004</v>
      </c>
      <c r="B135">
        <v>-0.3</v>
      </c>
      <c r="C135">
        <v>-9.9999999999999978E-2</v>
      </c>
      <c r="D135">
        <v>-49.999999999999986</v>
      </c>
      <c r="E135">
        <v>-63.8</v>
      </c>
      <c r="F135">
        <v>787</v>
      </c>
      <c r="G135">
        <v>92.50117536436295</v>
      </c>
    </row>
    <row r="136" spans="1:7" x14ac:dyDescent="0.2">
      <c r="A136" s="6">
        <v>41973</v>
      </c>
      <c r="B136">
        <v>-0.2</v>
      </c>
      <c r="C136">
        <v>-0.2</v>
      </c>
      <c r="D136" t="e">
        <v>#DIV/0!</v>
      </c>
      <c r="E136">
        <v>-850.8</v>
      </c>
      <c r="F136">
        <v>-474.29999999999995</v>
      </c>
      <c r="G136">
        <v>-125.97609561752986</v>
      </c>
    </row>
    <row r="137" spans="1:7" x14ac:dyDescent="0.2">
      <c r="A137" s="6">
        <v>41943</v>
      </c>
      <c r="B137">
        <v>0</v>
      </c>
      <c r="C137">
        <v>0</v>
      </c>
      <c r="D137" t="e">
        <v>#DIV/0!</v>
      </c>
      <c r="E137">
        <v>-376.5</v>
      </c>
      <c r="F137">
        <v>-521.29999999999995</v>
      </c>
      <c r="G137">
        <v>-360.01381215469604</v>
      </c>
    </row>
    <row r="138" spans="1:7" x14ac:dyDescent="0.2">
      <c r="A138" s="6">
        <v>41912</v>
      </c>
      <c r="B138">
        <v>0</v>
      </c>
      <c r="C138">
        <v>0</v>
      </c>
      <c r="D138" t="e">
        <v>#DIV/0!</v>
      </c>
      <c r="E138">
        <v>144.80000000000001</v>
      </c>
      <c r="F138">
        <v>259</v>
      </c>
      <c r="G138">
        <v>226.79509632224168</v>
      </c>
    </row>
    <row r="139" spans="1:7" x14ac:dyDescent="0.2">
      <c r="A139" s="6">
        <v>41882</v>
      </c>
      <c r="B139">
        <v>0</v>
      </c>
      <c r="C139">
        <v>-0.1</v>
      </c>
      <c r="D139">
        <v>-100</v>
      </c>
      <c r="E139">
        <v>-114.2</v>
      </c>
      <c r="F139">
        <v>-99.4</v>
      </c>
      <c r="G139">
        <v>-671.62162162162156</v>
      </c>
    </row>
    <row r="140" spans="1:7" x14ac:dyDescent="0.2">
      <c r="A140" s="6">
        <v>41851</v>
      </c>
      <c r="B140">
        <v>0.1</v>
      </c>
      <c r="C140">
        <v>0</v>
      </c>
      <c r="D140">
        <v>0</v>
      </c>
      <c r="E140">
        <v>-14.8</v>
      </c>
      <c r="F140">
        <v>15.8</v>
      </c>
      <c r="G140">
        <v>51.633986928104569</v>
      </c>
    </row>
    <row r="141" spans="1:7" x14ac:dyDescent="0.2">
      <c r="A141" s="6">
        <v>41820</v>
      </c>
      <c r="B141">
        <v>0.1</v>
      </c>
      <c r="C141">
        <v>-0.1</v>
      </c>
      <c r="D141">
        <v>-50</v>
      </c>
      <c r="E141">
        <v>-30.6</v>
      </c>
      <c r="F141">
        <v>-32.700000000000003</v>
      </c>
      <c r="G141">
        <v>-1557.1428571428573</v>
      </c>
    </row>
    <row r="142" spans="1:7" x14ac:dyDescent="0.2">
      <c r="A142" s="6">
        <v>41790</v>
      </c>
      <c r="B142">
        <v>0.2</v>
      </c>
      <c r="C142">
        <v>0</v>
      </c>
      <c r="D142">
        <v>0</v>
      </c>
      <c r="E142">
        <v>2.1</v>
      </c>
      <c r="F142">
        <v>10.799999999999999</v>
      </c>
      <c r="G142">
        <v>124.13793103448278</v>
      </c>
    </row>
    <row r="143" spans="1:7" x14ac:dyDescent="0.2">
      <c r="A143" s="6">
        <v>41759</v>
      </c>
      <c r="B143">
        <v>0.2</v>
      </c>
      <c r="C143">
        <v>0</v>
      </c>
      <c r="D143">
        <v>0</v>
      </c>
      <c r="E143">
        <v>-8.6999999999999993</v>
      </c>
      <c r="F143">
        <v>-94.2</v>
      </c>
      <c r="G143">
        <v>-110.17543859649123</v>
      </c>
    </row>
    <row r="144" spans="1:7" x14ac:dyDescent="0.2">
      <c r="A144" s="6">
        <v>41729</v>
      </c>
      <c r="B144">
        <v>0.2</v>
      </c>
      <c r="C144">
        <v>0.1</v>
      </c>
      <c r="D144">
        <v>100</v>
      </c>
      <c r="E144">
        <v>85.5</v>
      </c>
      <c r="F144">
        <v>140.1</v>
      </c>
      <c r="G144">
        <v>256.5934065934066</v>
      </c>
    </row>
    <row r="145" spans="1:7" x14ac:dyDescent="0.2">
      <c r="A145" s="6">
        <v>41698</v>
      </c>
      <c r="B145">
        <v>0.1</v>
      </c>
      <c r="C145">
        <v>-0.1</v>
      </c>
      <c r="D145">
        <v>-50</v>
      </c>
      <c r="E145">
        <v>-54.6</v>
      </c>
      <c r="F145">
        <v>-46.3</v>
      </c>
      <c r="G145">
        <v>-557.83132530120474</v>
      </c>
    </row>
    <row r="146" spans="1:7" x14ac:dyDescent="0.2">
      <c r="A146" s="6">
        <v>41670</v>
      </c>
      <c r="B146">
        <v>0.2</v>
      </c>
      <c r="C146">
        <v>-9.9999999999999978E-2</v>
      </c>
      <c r="D146">
        <v>-33.333333333333329</v>
      </c>
      <c r="E146">
        <v>-8.3000000000000007</v>
      </c>
      <c r="F146">
        <v>-51.7</v>
      </c>
      <c r="G146">
        <v>-119.12442396313365</v>
      </c>
    </row>
    <row r="147" spans="1:7" x14ac:dyDescent="0.2">
      <c r="A147" s="6">
        <v>41639</v>
      </c>
      <c r="B147">
        <v>0.3</v>
      </c>
      <c r="C147">
        <v>9.9999999999999978E-2</v>
      </c>
      <c r="D147">
        <v>49.999999999999986</v>
      </c>
      <c r="E147">
        <v>43.4</v>
      </c>
      <c r="F147">
        <v>-201.2</v>
      </c>
      <c r="G147">
        <v>-82.25674570727719</v>
      </c>
    </row>
    <row r="148" spans="1:7" x14ac:dyDescent="0.2">
      <c r="A148" s="6">
        <v>41608</v>
      </c>
      <c r="B148">
        <v>0.2</v>
      </c>
      <c r="C148">
        <v>0.1</v>
      </c>
      <c r="D148">
        <v>100</v>
      </c>
      <c r="E148">
        <v>244.6</v>
      </c>
      <c r="F148">
        <v>202.6</v>
      </c>
      <c r="G148">
        <v>482.38095238095241</v>
      </c>
    </row>
    <row r="149" spans="1:7" x14ac:dyDescent="0.2">
      <c r="A149" s="6">
        <v>41578</v>
      </c>
      <c r="B149">
        <v>0.1</v>
      </c>
      <c r="C149">
        <v>0.1</v>
      </c>
      <c r="D149" t="e">
        <v>#DIV/0!</v>
      </c>
      <c r="E149">
        <v>42</v>
      </c>
      <c r="F149">
        <v>126.2</v>
      </c>
      <c r="G149">
        <v>149.88123515439429</v>
      </c>
    </row>
    <row r="150" spans="1:7" x14ac:dyDescent="0.2">
      <c r="A150" s="6">
        <v>41547</v>
      </c>
      <c r="B150">
        <v>0</v>
      </c>
      <c r="C150">
        <v>-0.2</v>
      </c>
      <c r="D150">
        <v>-100</v>
      </c>
      <c r="E150">
        <v>-84.2</v>
      </c>
      <c r="F150">
        <v>-106.2</v>
      </c>
      <c r="G150">
        <v>-482.72727272727275</v>
      </c>
    </row>
    <row r="151" spans="1:7" x14ac:dyDescent="0.2">
      <c r="A151" s="6">
        <v>41517</v>
      </c>
      <c r="B151">
        <v>0.2</v>
      </c>
      <c r="C151">
        <v>0</v>
      </c>
      <c r="D151">
        <v>0</v>
      </c>
      <c r="E151">
        <v>22</v>
      </c>
      <c r="F151">
        <v>39.799999999999997</v>
      </c>
      <c r="G151">
        <v>223.59550561797749</v>
      </c>
    </row>
    <row r="152" spans="1:7" x14ac:dyDescent="0.2">
      <c r="A152" s="6">
        <v>41486</v>
      </c>
      <c r="B152">
        <v>0.2</v>
      </c>
      <c r="C152">
        <v>0</v>
      </c>
      <c r="D152">
        <v>0</v>
      </c>
      <c r="E152">
        <v>-17.8</v>
      </c>
      <c r="F152">
        <v>-492.5</v>
      </c>
      <c r="G152">
        <v>-103.74973667579525</v>
      </c>
    </row>
    <row r="153" spans="1:7" x14ac:dyDescent="0.2">
      <c r="A153" s="6">
        <v>41455</v>
      </c>
      <c r="B153">
        <v>0.2</v>
      </c>
      <c r="C153">
        <v>0.2</v>
      </c>
      <c r="D153" t="e">
        <v>#DIV/0!</v>
      </c>
      <c r="E153">
        <v>474.7</v>
      </c>
      <c r="F153">
        <v>354.9</v>
      </c>
      <c r="G153">
        <v>296.24373956594326</v>
      </c>
    </row>
    <row r="154" spans="1:7" x14ac:dyDescent="0.2">
      <c r="A154" s="6">
        <v>41425</v>
      </c>
      <c r="B154">
        <v>0</v>
      </c>
      <c r="C154">
        <v>0.2</v>
      </c>
      <c r="D154">
        <v>100</v>
      </c>
      <c r="E154">
        <v>119.8</v>
      </c>
      <c r="F154">
        <v>94.1</v>
      </c>
      <c r="G154">
        <v>366.14785992217901</v>
      </c>
    </row>
    <row r="155" spans="1:7" x14ac:dyDescent="0.2">
      <c r="A155" s="6">
        <v>41394</v>
      </c>
      <c r="B155">
        <v>-0.2</v>
      </c>
      <c r="C155">
        <v>9.9999999999999978E-2</v>
      </c>
      <c r="D155">
        <v>33.333333333333329</v>
      </c>
      <c r="E155">
        <v>25.7</v>
      </c>
      <c r="F155">
        <v>177.5</v>
      </c>
      <c r="G155">
        <v>116.93017127799736</v>
      </c>
    </row>
    <row r="156" spans="1:7" x14ac:dyDescent="0.2">
      <c r="A156" s="6">
        <v>41364</v>
      </c>
      <c r="B156">
        <v>-0.3</v>
      </c>
      <c r="C156">
        <v>-0.8</v>
      </c>
      <c r="D156">
        <v>-160</v>
      </c>
      <c r="E156">
        <v>-151.80000000000001</v>
      </c>
      <c r="F156">
        <v>-325.89999999999998</v>
      </c>
      <c r="G156">
        <v>-187.19126938541066</v>
      </c>
    </row>
    <row r="157" spans="1:7" x14ac:dyDescent="0.2">
      <c r="A157" s="6">
        <v>41333</v>
      </c>
      <c r="B157">
        <v>0.5</v>
      </c>
      <c r="C157">
        <v>0.3</v>
      </c>
      <c r="D157">
        <v>150</v>
      </c>
      <c r="E157">
        <v>174.1</v>
      </c>
      <c r="F157">
        <v>-1561.6000000000001</v>
      </c>
      <c r="G157">
        <v>-89.969464769257357</v>
      </c>
    </row>
    <row r="158" spans="1:7" x14ac:dyDescent="0.2">
      <c r="A158" s="6">
        <v>41305</v>
      </c>
      <c r="B158">
        <v>0.2</v>
      </c>
      <c r="C158">
        <v>0.2</v>
      </c>
      <c r="D158" t="e">
        <v>#DIV/0!</v>
      </c>
      <c r="E158">
        <v>1735.7</v>
      </c>
      <c r="F158">
        <v>1642.9</v>
      </c>
      <c r="G158">
        <v>1770.3663793103449</v>
      </c>
    </row>
    <row r="159" spans="1:7" x14ac:dyDescent="0.2">
      <c r="A159" s="6">
        <v>41274</v>
      </c>
      <c r="B159">
        <v>0</v>
      </c>
      <c r="C159">
        <v>0.2</v>
      </c>
      <c r="D159">
        <v>100</v>
      </c>
      <c r="E159">
        <v>92.8</v>
      </c>
      <c r="F159">
        <v>255.10000000000002</v>
      </c>
      <c r="G159">
        <v>157.17806531115221</v>
      </c>
    </row>
    <row r="160" spans="1:7" x14ac:dyDescent="0.2">
      <c r="A160" s="6">
        <v>41243</v>
      </c>
      <c r="B160">
        <v>-0.2</v>
      </c>
      <c r="C160">
        <v>-0.5</v>
      </c>
      <c r="D160">
        <v>-166.66666666666669</v>
      </c>
      <c r="E160">
        <v>-162.30000000000001</v>
      </c>
      <c r="F160">
        <v>-118.80000000000001</v>
      </c>
      <c r="G160">
        <v>-273.10344827586209</v>
      </c>
    </row>
    <row r="161" spans="1:7" x14ac:dyDescent="0.2">
      <c r="A161" s="6">
        <v>41213</v>
      </c>
      <c r="B161">
        <v>0.3</v>
      </c>
      <c r="C161">
        <v>-0.2</v>
      </c>
      <c r="D161">
        <v>-40</v>
      </c>
      <c r="E161">
        <v>-43.5</v>
      </c>
      <c r="F161">
        <v>-25.6</v>
      </c>
      <c r="G161">
        <v>-143.01675977653633</v>
      </c>
    </row>
    <row r="162" spans="1:7" x14ac:dyDescent="0.2">
      <c r="A162" s="6">
        <v>41182</v>
      </c>
      <c r="B162">
        <v>0.5</v>
      </c>
      <c r="C162">
        <v>-9.9999999999999978E-2</v>
      </c>
      <c r="D162">
        <v>-16.666666666666664</v>
      </c>
      <c r="E162">
        <v>-17.899999999999999</v>
      </c>
      <c r="F162">
        <v>-1929.5</v>
      </c>
      <c r="G162">
        <v>-100.9363883657669</v>
      </c>
    </row>
    <row r="163" spans="1:7" x14ac:dyDescent="0.2">
      <c r="A163" s="6">
        <v>41152</v>
      </c>
      <c r="B163">
        <v>0.6</v>
      </c>
      <c r="C163">
        <v>0.6</v>
      </c>
      <c r="D163" t="e">
        <v>#DIV/0!</v>
      </c>
      <c r="E163">
        <v>1911.6</v>
      </c>
      <c r="F163">
        <v>1776.6</v>
      </c>
      <c r="G163">
        <v>1316</v>
      </c>
    </row>
    <row r="164" spans="1:7" x14ac:dyDescent="0.2">
      <c r="A164" s="6">
        <v>41121</v>
      </c>
      <c r="B164">
        <v>0</v>
      </c>
      <c r="C164">
        <v>0.1</v>
      </c>
      <c r="D164">
        <v>100</v>
      </c>
      <c r="E164">
        <v>135</v>
      </c>
      <c r="F164">
        <v>75</v>
      </c>
      <c r="G164">
        <v>125</v>
      </c>
    </row>
    <row r="165" spans="1:7" x14ac:dyDescent="0.2">
      <c r="A165" s="6">
        <v>41090</v>
      </c>
      <c r="B165">
        <v>-0.1</v>
      </c>
      <c r="C165">
        <v>0.1</v>
      </c>
      <c r="D165">
        <v>50</v>
      </c>
      <c r="E165">
        <v>60</v>
      </c>
      <c r="F165">
        <v>284.5</v>
      </c>
      <c r="G165">
        <v>126.72605790645879</v>
      </c>
    </row>
    <row r="166" spans="1:7" x14ac:dyDescent="0.2">
      <c r="A166" s="6">
        <v>41060</v>
      </c>
      <c r="B166">
        <v>-0.2</v>
      </c>
      <c r="C166">
        <v>-0.4</v>
      </c>
      <c r="D166">
        <v>-200</v>
      </c>
      <c r="E166">
        <v>-224.5</v>
      </c>
      <c r="F166">
        <v>-203.8</v>
      </c>
      <c r="G166">
        <v>-984.54106280193241</v>
      </c>
    </row>
    <row r="167" spans="1:7" x14ac:dyDescent="0.2">
      <c r="A167" s="6">
        <v>41029</v>
      </c>
      <c r="B167">
        <v>0.2</v>
      </c>
      <c r="C167">
        <v>0</v>
      </c>
      <c r="D167">
        <v>0</v>
      </c>
      <c r="E167">
        <v>-20.7</v>
      </c>
      <c r="F167">
        <v>-18.599999999999998</v>
      </c>
      <c r="G167">
        <v>-885.71428571428555</v>
      </c>
    </row>
    <row r="168" spans="1:7" x14ac:dyDescent="0.2">
      <c r="A168" s="6">
        <v>40999</v>
      </c>
      <c r="B168">
        <v>0.2</v>
      </c>
      <c r="C168">
        <v>0</v>
      </c>
      <c r="D168">
        <v>0</v>
      </c>
      <c r="E168">
        <v>-2.1</v>
      </c>
      <c r="F168">
        <v>19.399999999999999</v>
      </c>
      <c r="G168">
        <v>90.232558139534873</v>
      </c>
    </row>
    <row r="169" spans="1:7" x14ac:dyDescent="0.2">
      <c r="A169" s="6">
        <v>40968</v>
      </c>
      <c r="B169">
        <v>0.2</v>
      </c>
      <c r="C169">
        <v>-9.9999999999999978E-2</v>
      </c>
      <c r="D169">
        <v>-33.333333333333329</v>
      </c>
      <c r="E169">
        <v>-21.5</v>
      </c>
      <c r="F169">
        <v>-1067.5</v>
      </c>
      <c r="G169">
        <v>-102.05544933078394</v>
      </c>
    </row>
    <row r="170" spans="1:7" x14ac:dyDescent="0.2">
      <c r="A170" s="6">
        <v>40939</v>
      </c>
      <c r="B170">
        <v>0.3</v>
      </c>
      <c r="C170">
        <v>0.3</v>
      </c>
      <c r="D170" t="e">
        <v>#DIV/0!</v>
      </c>
      <c r="E170">
        <v>1046</v>
      </c>
      <c r="F170">
        <v>1133.0999999999999</v>
      </c>
      <c r="G170">
        <v>1300.9184845005739</v>
      </c>
    </row>
    <row r="171" spans="1:7" x14ac:dyDescent="0.2">
      <c r="A171" s="6">
        <v>40908</v>
      </c>
      <c r="B171">
        <v>0</v>
      </c>
      <c r="C171">
        <v>-0.2</v>
      </c>
      <c r="D171">
        <v>-100</v>
      </c>
      <c r="E171">
        <v>-87.1</v>
      </c>
      <c r="F171">
        <v>-260.79999999999995</v>
      </c>
      <c r="G171">
        <v>-150.14392630972941</v>
      </c>
    </row>
    <row r="172" spans="1:7" x14ac:dyDescent="0.2">
      <c r="A172" s="6">
        <v>40877</v>
      </c>
      <c r="B172">
        <v>0.2</v>
      </c>
      <c r="C172">
        <v>0.1</v>
      </c>
      <c r="D172">
        <v>100</v>
      </c>
      <c r="E172">
        <v>173.7</v>
      </c>
      <c r="F172">
        <v>242.6</v>
      </c>
      <c r="G172">
        <v>352.10449927431057</v>
      </c>
    </row>
    <row r="173" spans="1:7" x14ac:dyDescent="0.2">
      <c r="A173" s="6">
        <v>40847</v>
      </c>
      <c r="B173">
        <v>0.1</v>
      </c>
      <c r="C173">
        <v>-0.1</v>
      </c>
      <c r="D173">
        <v>-50</v>
      </c>
      <c r="E173">
        <v>-68.900000000000006</v>
      </c>
      <c r="F173">
        <v>-37.700000000000003</v>
      </c>
      <c r="G173">
        <v>-120.83333333333336</v>
      </c>
    </row>
    <row r="174" spans="1:7" x14ac:dyDescent="0.2">
      <c r="A174" s="6">
        <v>40816</v>
      </c>
      <c r="B174">
        <v>0.2</v>
      </c>
      <c r="C174">
        <v>-9.9999999999999978E-2</v>
      </c>
      <c r="D174">
        <v>-33.333333333333329</v>
      </c>
      <c r="E174">
        <v>-31.2</v>
      </c>
      <c r="F174">
        <v>-51.599999999999994</v>
      </c>
      <c r="G174">
        <v>-252.9411764705882</v>
      </c>
    </row>
    <row r="175" spans="1:7" x14ac:dyDescent="0.2">
      <c r="A175" s="6">
        <v>40786</v>
      </c>
      <c r="B175">
        <v>0.3</v>
      </c>
      <c r="C175">
        <v>0</v>
      </c>
      <c r="D175">
        <v>0</v>
      </c>
      <c r="E175">
        <v>20.399999999999999</v>
      </c>
      <c r="F175" t="s">
        <v>11</v>
      </c>
      <c r="G175" t="s">
        <v>11</v>
      </c>
    </row>
    <row r="176" spans="1:7" x14ac:dyDescent="0.2">
      <c r="A176" s="6">
        <v>40755</v>
      </c>
      <c r="B176">
        <v>0.3</v>
      </c>
      <c r="C176">
        <v>0.3</v>
      </c>
      <c r="D176" t="e">
        <v>#DIV/0!</v>
      </c>
      <c r="E176" t="s">
        <v>12</v>
      </c>
      <c r="F176" t="s">
        <v>11</v>
      </c>
      <c r="G176" t="s">
        <v>11</v>
      </c>
    </row>
    <row r="177" spans="1:7" x14ac:dyDescent="0.2">
      <c r="A177" s="6">
        <v>40724</v>
      </c>
      <c r="B177">
        <v>0</v>
      </c>
      <c r="C177">
        <v>-0.3</v>
      </c>
      <c r="D177">
        <v>-100</v>
      </c>
      <c r="E177">
        <v>-100</v>
      </c>
      <c r="F177">
        <v>-67.8</v>
      </c>
      <c r="G177">
        <v>-210.5590062111801</v>
      </c>
    </row>
    <row r="178" spans="1:7" x14ac:dyDescent="0.2">
      <c r="A178" s="6">
        <v>40694</v>
      </c>
      <c r="B178">
        <v>0.3</v>
      </c>
      <c r="C178">
        <v>-0.2</v>
      </c>
      <c r="D178">
        <v>-40</v>
      </c>
      <c r="E178">
        <v>-32.200000000000003</v>
      </c>
      <c r="F178">
        <v>-22.900000000000002</v>
      </c>
      <c r="G178">
        <v>-246.23655913978493</v>
      </c>
    </row>
    <row r="179" spans="1:7" x14ac:dyDescent="0.2">
      <c r="A179" s="6">
        <v>40663</v>
      </c>
      <c r="B179">
        <v>0.5</v>
      </c>
      <c r="C179">
        <v>0</v>
      </c>
      <c r="D179">
        <v>0</v>
      </c>
      <c r="E179">
        <v>-9.3000000000000007</v>
      </c>
      <c r="F179">
        <v>-70.2</v>
      </c>
      <c r="G179">
        <v>-115.27093596059113</v>
      </c>
    </row>
    <row r="180" spans="1:7" x14ac:dyDescent="0.2">
      <c r="A180" s="6">
        <v>40633</v>
      </c>
      <c r="B180">
        <v>0.5</v>
      </c>
      <c r="C180">
        <v>0.2</v>
      </c>
      <c r="D180">
        <v>66.666666666666671</v>
      </c>
      <c r="E180">
        <v>60.9</v>
      </c>
      <c r="F180">
        <v>61.8</v>
      </c>
      <c r="G180">
        <v>6866.6666666666661</v>
      </c>
    </row>
    <row r="181" spans="1:7" x14ac:dyDescent="0.2">
      <c r="A181" s="6">
        <v>40602</v>
      </c>
      <c r="B181">
        <v>0.3</v>
      </c>
      <c r="C181">
        <v>0</v>
      </c>
      <c r="D181">
        <v>0</v>
      </c>
      <c r="E181">
        <v>-0.9</v>
      </c>
      <c r="F181">
        <v>18.400000000000002</v>
      </c>
      <c r="G181">
        <v>95.336787564766851</v>
      </c>
    </row>
    <row r="182" spans="1:7" x14ac:dyDescent="0.2">
      <c r="A182" s="6">
        <v>40574</v>
      </c>
      <c r="B182">
        <v>0.3</v>
      </c>
      <c r="C182">
        <v>-0.10000000000000003</v>
      </c>
      <c r="D182">
        <v>-25.000000000000007</v>
      </c>
      <c r="E182">
        <v>-19.3</v>
      </c>
      <c r="F182">
        <v>-77.8</v>
      </c>
      <c r="G182">
        <v>-132.991452991453</v>
      </c>
    </row>
    <row r="183" spans="1:7" x14ac:dyDescent="0.2">
      <c r="A183" s="6">
        <v>40543</v>
      </c>
      <c r="B183">
        <v>0.4</v>
      </c>
      <c r="C183">
        <v>0.10000000000000003</v>
      </c>
      <c r="D183">
        <v>33.33333333333335</v>
      </c>
      <c r="E183">
        <v>58.5</v>
      </c>
      <c r="F183">
        <v>85.7</v>
      </c>
      <c r="G183">
        <v>315.0735294117647</v>
      </c>
    </row>
    <row r="184" spans="1:7" x14ac:dyDescent="0.2">
      <c r="A184" s="6">
        <v>40512</v>
      </c>
      <c r="B184">
        <v>0.3</v>
      </c>
      <c r="C184">
        <v>0</v>
      </c>
      <c r="D184">
        <v>0</v>
      </c>
      <c r="E184">
        <v>-27.2</v>
      </c>
      <c r="F184">
        <v>-142.79999999999998</v>
      </c>
      <c r="G184">
        <v>-123.52941176470587</v>
      </c>
    </row>
    <row r="185" spans="1:7" x14ac:dyDescent="0.2">
      <c r="A185" s="6">
        <v>40482</v>
      </c>
      <c r="B185">
        <v>0.3</v>
      </c>
      <c r="C185">
        <v>9.9999999999999978E-2</v>
      </c>
      <c r="D185">
        <v>49.999999999999986</v>
      </c>
      <c r="E185">
        <v>115.6</v>
      </c>
      <c r="F185">
        <v>105.1</v>
      </c>
      <c r="G185">
        <v>1000.952380952381</v>
      </c>
    </row>
    <row r="186" spans="1:7" x14ac:dyDescent="0.2">
      <c r="A186" s="6">
        <v>40451</v>
      </c>
      <c r="B186">
        <v>0.2</v>
      </c>
      <c r="C186">
        <v>0.1</v>
      </c>
      <c r="D186">
        <v>100</v>
      </c>
      <c r="E186">
        <v>10.5</v>
      </c>
      <c r="F186">
        <v>32.299999999999997</v>
      </c>
      <c r="G186">
        <v>148.16513761467888</v>
      </c>
    </row>
    <row r="187" spans="1:7" x14ac:dyDescent="0.2">
      <c r="A187" s="6">
        <v>40421</v>
      </c>
      <c r="B187">
        <v>0.1</v>
      </c>
      <c r="C187">
        <v>-0.1</v>
      </c>
      <c r="D187">
        <v>-50</v>
      </c>
      <c r="E187">
        <v>-21.8</v>
      </c>
      <c r="F187">
        <v>-568.19999999999993</v>
      </c>
      <c r="G187">
        <v>-103.98975109809662</v>
      </c>
    </row>
    <row r="188" spans="1:7" x14ac:dyDescent="0.2">
      <c r="A188" s="6">
        <v>40390</v>
      </c>
      <c r="B188">
        <v>0.2</v>
      </c>
      <c r="C188">
        <v>0.2</v>
      </c>
      <c r="D188" t="e">
        <v>#DIV/0!</v>
      </c>
      <c r="E188">
        <v>546.4</v>
      </c>
      <c r="F188">
        <v>527</v>
      </c>
      <c r="G188">
        <v>2716.4948453608249</v>
      </c>
    </row>
    <row r="189" spans="1:7" x14ac:dyDescent="0.2">
      <c r="A189" s="6">
        <v>40359</v>
      </c>
      <c r="B189">
        <v>0</v>
      </c>
      <c r="C189">
        <v>0.1</v>
      </c>
      <c r="D189">
        <v>100</v>
      </c>
      <c r="E189">
        <v>19.399999999999999</v>
      </c>
      <c r="F189">
        <v>345.29999999999995</v>
      </c>
      <c r="G189">
        <v>105.95274624117826</v>
      </c>
    </row>
    <row r="190" spans="1:7" x14ac:dyDescent="0.2">
      <c r="A190" s="6">
        <v>40329</v>
      </c>
      <c r="B190">
        <v>-0.1</v>
      </c>
      <c r="C190">
        <v>-0.1</v>
      </c>
      <c r="D190" t="e">
        <v>#DIV/0!</v>
      </c>
      <c r="E190">
        <v>-325.89999999999998</v>
      </c>
      <c r="F190">
        <v>-295.39999999999998</v>
      </c>
      <c r="G190">
        <v>-968.52459016393436</v>
      </c>
    </row>
    <row r="191" spans="1:7" x14ac:dyDescent="0.2">
      <c r="A191" s="6">
        <v>40298</v>
      </c>
      <c r="B191">
        <v>0</v>
      </c>
      <c r="C191">
        <v>0</v>
      </c>
      <c r="D191" t="e">
        <v>#DIV/0!</v>
      </c>
      <c r="E191">
        <v>-30.5</v>
      </c>
      <c r="F191">
        <v>-165.3</v>
      </c>
      <c r="G191">
        <v>-122.6261127596439</v>
      </c>
    </row>
    <row r="192" spans="1:7" x14ac:dyDescent="0.2">
      <c r="A192" s="6">
        <v>40268</v>
      </c>
      <c r="B192">
        <v>0</v>
      </c>
      <c r="C192">
        <v>0.1</v>
      </c>
      <c r="D192">
        <v>100</v>
      </c>
      <c r="E192">
        <v>134.80000000000001</v>
      </c>
      <c r="F192">
        <v>381.5</v>
      </c>
      <c r="G192">
        <v>154.6412646939603</v>
      </c>
    </row>
    <row r="193" spans="1:7" x14ac:dyDescent="0.2">
      <c r="A193" s="6">
        <v>40237</v>
      </c>
      <c r="B193">
        <v>-0.1</v>
      </c>
      <c r="C193">
        <v>-0.2</v>
      </c>
      <c r="D193">
        <v>-200</v>
      </c>
      <c r="E193">
        <v>-246.7</v>
      </c>
      <c r="F193">
        <v>-271.39999999999998</v>
      </c>
      <c r="G193">
        <v>-1098.7854251012145</v>
      </c>
    </row>
    <row r="194" spans="1:7" x14ac:dyDescent="0.2">
      <c r="A194" s="6">
        <v>40209</v>
      </c>
      <c r="B194">
        <v>0.1</v>
      </c>
      <c r="C194">
        <v>0</v>
      </c>
      <c r="D194">
        <v>0</v>
      </c>
      <c r="E194">
        <v>24.7</v>
      </c>
      <c r="F194">
        <v>109.2</v>
      </c>
      <c r="G194">
        <v>129.23076923076923</v>
      </c>
    </row>
    <row r="195" spans="1:7" x14ac:dyDescent="0.2">
      <c r="A195" s="6">
        <v>40178</v>
      </c>
      <c r="B195">
        <v>0.1</v>
      </c>
      <c r="C195">
        <v>-0.19999999999999998</v>
      </c>
      <c r="D195">
        <v>-66.666666666666671</v>
      </c>
      <c r="E195">
        <v>-84.5</v>
      </c>
      <c r="F195">
        <v>-96</v>
      </c>
      <c r="G195">
        <v>-834.78260869565213</v>
      </c>
    </row>
    <row r="196" spans="1:7" x14ac:dyDescent="0.2">
      <c r="A196" s="6">
        <v>40147</v>
      </c>
      <c r="B196">
        <v>0.3</v>
      </c>
      <c r="C196">
        <v>0</v>
      </c>
      <c r="D196">
        <v>0</v>
      </c>
      <c r="E196">
        <v>11.5</v>
      </c>
      <c r="F196">
        <v>-44</v>
      </c>
      <c r="G196">
        <v>-79.27927927927928</v>
      </c>
    </row>
    <row r="197" spans="1:7" x14ac:dyDescent="0.2">
      <c r="A197" s="6">
        <v>40117</v>
      </c>
      <c r="B197">
        <v>0.3</v>
      </c>
      <c r="C197">
        <v>9.9999999999999978E-2</v>
      </c>
      <c r="D197">
        <v>49.999999999999986</v>
      </c>
      <c r="E197">
        <v>55.5</v>
      </c>
      <c r="F197">
        <v>97.8</v>
      </c>
      <c r="G197">
        <v>231.20567375886526</v>
      </c>
    </row>
    <row r="198" spans="1:7" x14ac:dyDescent="0.2">
      <c r="A198" s="6">
        <v>40086</v>
      </c>
      <c r="B198">
        <v>0.2</v>
      </c>
      <c r="C198">
        <v>-9.9999999999999978E-2</v>
      </c>
      <c r="D198">
        <v>-33.333333333333329</v>
      </c>
      <c r="E198">
        <v>-42.3</v>
      </c>
      <c r="F198">
        <v>-1266.3</v>
      </c>
      <c r="G198">
        <v>-103.45588235294117</v>
      </c>
    </row>
    <row r="199" spans="1:7" x14ac:dyDescent="0.2">
      <c r="A199" s="6">
        <v>40056</v>
      </c>
      <c r="B199">
        <v>0.3</v>
      </c>
      <c r="C199">
        <v>0.3</v>
      </c>
      <c r="D199" t="e">
        <v>#DIV/0!</v>
      </c>
      <c r="E199">
        <v>1224</v>
      </c>
      <c r="F199">
        <v>1327.6</v>
      </c>
      <c r="G199">
        <v>1281.4671814671815</v>
      </c>
    </row>
    <row r="200" spans="1:7" x14ac:dyDescent="0.2">
      <c r="A200" s="6">
        <v>40025</v>
      </c>
      <c r="B200">
        <v>0</v>
      </c>
      <c r="C200">
        <v>-0.8</v>
      </c>
      <c r="D200">
        <v>-100</v>
      </c>
      <c r="E200">
        <v>-103.6</v>
      </c>
      <c r="F200">
        <v>-567.6</v>
      </c>
      <c r="G200">
        <v>-122.32758620689656</v>
      </c>
    </row>
    <row r="201" spans="1:7" x14ac:dyDescent="0.2">
      <c r="A201" s="6">
        <v>39994</v>
      </c>
      <c r="B201">
        <v>0.8</v>
      </c>
      <c r="C201">
        <v>0.70000000000000007</v>
      </c>
      <c r="D201">
        <v>700</v>
      </c>
      <c r="E201">
        <v>464</v>
      </c>
      <c r="F201">
        <v>417.9</v>
      </c>
      <c r="G201">
        <v>906.50759219088934</v>
      </c>
    </row>
    <row r="202" spans="1:7" x14ac:dyDescent="0.2">
      <c r="A202" s="6">
        <v>39964</v>
      </c>
      <c r="B202">
        <v>0.1</v>
      </c>
      <c r="C202">
        <v>0</v>
      </c>
      <c r="D202">
        <v>0</v>
      </c>
      <c r="E202">
        <v>46.1</v>
      </c>
      <c r="F202">
        <v>-155.9</v>
      </c>
      <c r="G202">
        <v>-77.178217821782184</v>
      </c>
    </row>
    <row r="203" spans="1:7" x14ac:dyDescent="0.2">
      <c r="A203" s="6">
        <v>39933</v>
      </c>
      <c r="B203">
        <v>0.1</v>
      </c>
      <c r="C203">
        <v>0.2</v>
      </c>
      <c r="D203">
        <v>200</v>
      </c>
      <c r="E203">
        <v>202</v>
      </c>
      <c r="F203">
        <v>329.1</v>
      </c>
      <c r="G203">
        <v>258.92997639653817</v>
      </c>
    </row>
    <row r="204" spans="1:7" x14ac:dyDescent="0.2">
      <c r="A204" s="6">
        <v>39903</v>
      </c>
      <c r="B204">
        <v>-0.1</v>
      </c>
      <c r="C204">
        <v>-0.5</v>
      </c>
      <c r="D204">
        <v>-125</v>
      </c>
      <c r="E204">
        <v>-127.1</v>
      </c>
      <c r="F204">
        <v>-171</v>
      </c>
      <c r="G204">
        <v>-389.52164009111618</v>
      </c>
    </row>
    <row r="205" spans="1:7" x14ac:dyDescent="0.2">
      <c r="A205" s="6">
        <v>39872</v>
      </c>
      <c r="B205">
        <v>0.4</v>
      </c>
      <c r="C205">
        <v>0.10000000000000003</v>
      </c>
      <c r="D205">
        <v>33.33333333333335</v>
      </c>
      <c r="E205">
        <v>43.9</v>
      </c>
      <c r="F205">
        <v>-86.799999999999983</v>
      </c>
      <c r="G205">
        <v>-66.411629686304508</v>
      </c>
    </row>
    <row r="206" spans="1:7" x14ac:dyDescent="0.2">
      <c r="A206" s="6">
        <v>39844</v>
      </c>
      <c r="B206">
        <v>0.3</v>
      </c>
      <c r="C206">
        <v>1.1000000000000001</v>
      </c>
      <c r="D206">
        <v>137.5</v>
      </c>
      <c r="E206">
        <v>130.69999999999999</v>
      </c>
      <c r="F206">
        <v>77.199999999999989</v>
      </c>
      <c r="G206">
        <v>144.29906542056074</v>
      </c>
    </row>
    <row r="207" spans="1:7" x14ac:dyDescent="0.2">
      <c r="A207" s="6">
        <v>39813</v>
      </c>
      <c r="B207">
        <v>-0.8</v>
      </c>
      <c r="C207">
        <v>1</v>
      </c>
      <c r="D207">
        <v>55.555555555555557</v>
      </c>
      <c r="E207">
        <v>53.5</v>
      </c>
      <c r="F207">
        <v>159.4</v>
      </c>
      <c r="G207">
        <v>150.51935788479696</v>
      </c>
    </row>
    <row r="208" spans="1:7" x14ac:dyDescent="0.2">
      <c r="A208" s="6">
        <v>39782</v>
      </c>
      <c r="B208">
        <v>-1.8</v>
      </c>
      <c r="C208">
        <v>-0.9</v>
      </c>
      <c r="D208">
        <v>-100</v>
      </c>
      <c r="E208">
        <v>-105.9</v>
      </c>
      <c r="F208">
        <v>999.69999999999993</v>
      </c>
      <c r="G208">
        <v>90.421490593342995</v>
      </c>
    </row>
    <row r="209" spans="1:7" x14ac:dyDescent="0.2">
      <c r="A209" s="6">
        <v>39752</v>
      </c>
      <c r="B209">
        <v>-0.9</v>
      </c>
      <c r="C209">
        <v>-1</v>
      </c>
      <c r="D209">
        <v>-1000</v>
      </c>
      <c r="E209">
        <v>-1105.5999999999999</v>
      </c>
      <c r="F209">
        <v>-1263</v>
      </c>
      <c r="G209">
        <v>-802.41423125794154</v>
      </c>
    </row>
    <row r="210" spans="1:7" x14ac:dyDescent="0.2">
      <c r="A210" s="6">
        <v>39721</v>
      </c>
      <c r="B210">
        <v>0.1</v>
      </c>
      <c r="C210">
        <v>0.2</v>
      </c>
      <c r="D210">
        <v>200</v>
      </c>
      <c r="E210">
        <v>157.4</v>
      </c>
      <c r="F210">
        <v>278.2</v>
      </c>
      <c r="G210">
        <v>230.2980132450331</v>
      </c>
    </row>
    <row r="211" spans="1:7" x14ac:dyDescent="0.2">
      <c r="A211" s="6">
        <v>39691</v>
      </c>
      <c r="B211">
        <v>-0.1</v>
      </c>
      <c r="C211">
        <v>-0.79999999999999993</v>
      </c>
      <c r="D211">
        <v>-114.28571428571429</v>
      </c>
      <c r="E211">
        <v>-120.8</v>
      </c>
      <c r="F211">
        <v>-89</v>
      </c>
      <c r="G211">
        <v>-279.87421383647796</v>
      </c>
    </row>
    <row r="212" spans="1:7" x14ac:dyDescent="0.2">
      <c r="A212" s="6">
        <v>39660</v>
      </c>
      <c r="B212">
        <v>0.7</v>
      </c>
      <c r="C212">
        <v>-0.30000000000000004</v>
      </c>
      <c r="D212">
        <v>-30.000000000000004</v>
      </c>
      <c r="E212">
        <v>-31.8</v>
      </c>
      <c r="F212">
        <v>-108.89999999999999</v>
      </c>
      <c r="G212">
        <v>-141.24513618677045</v>
      </c>
    </row>
    <row r="213" spans="1:7" x14ac:dyDescent="0.2">
      <c r="A213" s="6">
        <v>39629</v>
      </c>
      <c r="B213">
        <v>1</v>
      </c>
      <c r="C213">
        <v>0.4</v>
      </c>
      <c r="D213">
        <v>66.666666666666671</v>
      </c>
      <c r="E213">
        <v>77.099999999999994</v>
      </c>
      <c r="F213">
        <v>-78.599999999999994</v>
      </c>
      <c r="G213">
        <v>-50.481695568400767</v>
      </c>
    </row>
    <row r="214" spans="1:7" x14ac:dyDescent="0.2">
      <c r="A214" s="6">
        <v>39599</v>
      </c>
      <c r="B214">
        <v>0.6</v>
      </c>
      <c r="C214">
        <v>0.39999999999999997</v>
      </c>
      <c r="D214">
        <v>200</v>
      </c>
      <c r="E214">
        <v>155.69999999999999</v>
      </c>
      <c r="F214">
        <v>191</v>
      </c>
      <c r="G214">
        <v>541.07648725212471</v>
      </c>
    </row>
    <row r="215" spans="1:7" x14ac:dyDescent="0.2">
      <c r="A215" s="6">
        <v>39568</v>
      </c>
      <c r="B215">
        <v>0.2</v>
      </c>
      <c r="C215">
        <v>-0.2</v>
      </c>
      <c r="D215">
        <v>-50</v>
      </c>
      <c r="E215">
        <v>-35.299999999999997</v>
      </c>
      <c r="F215">
        <v>-83.3</v>
      </c>
      <c r="G215">
        <v>-173.54166666666666</v>
      </c>
    </row>
    <row r="216" spans="1:7" x14ac:dyDescent="0.2">
      <c r="A216" s="6">
        <v>39538</v>
      </c>
      <c r="B216">
        <v>0.4</v>
      </c>
      <c r="C216">
        <v>0.2</v>
      </c>
      <c r="D216">
        <v>100</v>
      </c>
      <c r="E216">
        <v>48</v>
      </c>
      <c r="F216">
        <v>77.900000000000006</v>
      </c>
      <c r="G216">
        <v>260.53511705685622</v>
      </c>
    </row>
    <row r="217" spans="1:7" x14ac:dyDescent="0.2">
      <c r="A217" s="6">
        <v>39507</v>
      </c>
      <c r="B217">
        <v>0.2</v>
      </c>
      <c r="C217">
        <v>-9.9999999999999978E-2</v>
      </c>
      <c r="D217">
        <v>-33.333333333333329</v>
      </c>
      <c r="E217">
        <v>-29.9</v>
      </c>
      <c r="F217">
        <v>-48.9</v>
      </c>
      <c r="G217">
        <v>-257.36842105263156</v>
      </c>
    </row>
    <row r="218" spans="1:7" x14ac:dyDescent="0.2">
      <c r="A218" s="6">
        <v>39478</v>
      </c>
      <c r="B218">
        <v>0.3</v>
      </c>
      <c r="C218">
        <v>0</v>
      </c>
      <c r="D218">
        <v>0</v>
      </c>
      <c r="E218">
        <v>19</v>
      </c>
      <c r="F218">
        <v>82.1</v>
      </c>
      <c r="G218">
        <v>130.11093502377179</v>
      </c>
    </row>
    <row r="219" spans="1:7" x14ac:dyDescent="0.2">
      <c r="A219" s="6">
        <v>39447</v>
      </c>
      <c r="B219">
        <v>0.3</v>
      </c>
      <c r="C219">
        <v>-0.5</v>
      </c>
      <c r="D219">
        <v>-62.5</v>
      </c>
      <c r="E219">
        <v>-63.1</v>
      </c>
      <c r="F219">
        <v>-218</v>
      </c>
      <c r="G219">
        <v>-140.73595868302129</v>
      </c>
    </row>
    <row r="220" spans="1:7" x14ac:dyDescent="0.2">
      <c r="A220" s="6">
        <v>39416</v>
      </c>
      <c r="B220">
        <v>0.8</v>
      </c>
      <c r="C220">
        <v>0.5</v>
      </c>
      <c r="D220">
        <v>166.66666666666669</v>
      </c>
      <c r="E220">
        <v>154.9</v>
      </c>
      <c r="F220">
        <v>182.1</v>
      </c>
      <c r="G220">
        <v>669.48529411764707</v>
      </c>
    </row>
    <row r="221" spans="1:7" x14ac:dyDescent="0.2">
      <c r="A221" s="6">
        <v>39386</v>
      </c>
      <c r="B221">
        <v>0.3</v>
      </c>
      <c r="C221">
        <v>-0.10000000000000003</v>
      </c>
      <c r="D221">
        <v>-25.000000000000007</v>
      </c>
      <c r="E221">
        <v>-27.2</v>
      </c>
      <c r="F221">
        <v>-1301.7</v>
      </c>
      <c r="G221">
        <v>-102.13417026284817</v>
      </c>
    </row>
    <row r="222" spans="1:7" x14ac:dyDescent="0.2">
      <c r="A222" s="6">
        <v>39355</v>
      </c>
      <c r="B222">
        <v>0.4</v>
      </c>
      <c r="C222">
        <v>0.4</v>
      </c>
      <c r="D222" t="e">
        <v>#DIV/0!</v>
      </c>
      <c r="E222">
        <v>1274.5</v>
      </c>
      <c r="F222">
        <v>1357.2</v>
      </c>
      <c r="G222">
        <v>1641.1124546553808</v>
      </c>
    </row>
    <row r="223" spans="1:7" x14ac:dyDescent="0.2">
      <c r="A223" s="6">
        <v>39325</v>
      </c>
      <c r="B223">
        <v>0</v>
      </c>
      <c r="C223">
        <v>-0.2</v>
      </c>
      <c r="D223">
        <v>-100</v>
      </c>
      <c r="E223">
        <v>-82.7</v>
      </c>
      <c r="F223">
        <v>-59.6</v>
      </c>
      <c r="G223">
        <v>-258.00865800865802</v>
      </c>
    </row>
    <row r="224" spans="1:7" x14ac:dyDescent="0.2">
      <c r="A224" s="6">
        <v>39294</v>
      </c>
      <c r="B224">
        <v>0.2</v>
      </c>
      <c r="C224">
        <v>0</v>
      </c>
      <c r="D224">
        <v>0</v>
      </c>
      <c r="E224">
        <v>-23.1</v>
      </c>
      <c r="F224">
        <v>20.799999999999997</v>
      </c>
      <c r="G224">
        <v>47.380410022779031</v>
      </c>
    </row>
    <row r="225" spans="1:7" x14ac:dyDescent="0.2">
      <c r="A225" s="6">
        <v>39263</v>
      </c>
      <c r="B225">
        <v>0.2</v>
      </c>
      <c r="C225">
        <v>-0.2</v>
      </c>
      <c r="D225">
        <v>-50</v>
      </c>
      <c r="E225">
        <v>-43.9</v>
      </c>
      <c r="F225">
        <v>-81.599999999999994</v>
      </c>
      <c r="G225">
        <v>-216.44562334217503</v>
      </c>
    </row>
    <row r="226" spans="1:7" x14ac:dyDescent="0.2">
      <c r="A226" s="6">
        <v>39233</v>
      </c>
      <c r="B226">
        <v>0.4</v>
      </c>
      <c r="C226">
        <v>0.10000000000000003</v>
      </c>
      <c r="D226">
        <v>33.33333333333335</v>
      </c>
      <c r="E226">
        <v>37.700000000000003</v>
      </c>
      <c r="F226">
        <v>80</v>
      </c>
      <c r="G226">
        <v>189.12529550827423</v>
      </c>
    </row>
    <row r="227" spans="1:7" x14ac:dyDescent="0.2">
      <c r="A227" s="6">
        <v>39202</v>
      </c>
      <c r="B227">
        <v>0.3</v>
      </c>
      <c r="C227">
        <v>-0.2</v>
      </c>
      <c r="D227">
        <v>-40</v>
      </c>
      <c r="E227">
        <v>-42.3</v>
      </c>
      <c r="F227">
        <v>-76.400000000000006</v>
      </c>
      <c r="G227">
        <v>-224.04692082111438</v>
      </c>
    </row>
    <row r="228" spans="1:7" x14ac:dyDescent="0.2">
      <c r="A228" s="6">
        <v>39172</v>
      </c>
      <c r="B228">
        <v>0.5</v>
      </c>
      <c r="C228">
        <v>9.9999999999999978E-2</v>
      </c>
      <c r="D228">
        <v>24.999999999999993</v>
      </c>
      <c r="E228">
        <v>34.1</v>
      </c>
      <c r="F228">
        <v>-99.700000000000017</v>
      </c>
      <c r="G228">
        <v>-74.514200298953668</v>
      </c>
    </row>
    <row r="229" spans="1:7" x14ac:dyDescent="0.2">
      <c r="A229" s="6">
        <v>39141</v>
      </c>
      <c r="B229">
        <v>0.4</v>
      </c>
      <c r="C229">
        <v>0.2</v>
      </c>
      <c r="D229">
        <v>100</v>
      </c>
      <c r="E229">
        <v>133.80000000000001</v>
      </c>
      <c r="F229">
        <v>203.3</v>
      </c>
      <c r="G229">
        <v>292.51798561151077</v>
      </c>
    </row>
    <row r="230" spans="1:7" x14ac:dyDescent="0.2">
      <c r="A230" s="6">
        <v>39113</v>
      </c>
      <c r="B230">
        <v>0.2</v>
      </c>
      <c r="C230">
        <v>-0.3</v>
      </c>
      <c r="D230">
        <v>-60</v>
      </c>
      <c r="E230">
        <v>-69.5</v>
      </c>
      <c r="F230">
        <v>-1069</v>
      </c>
      <c r="G230">
        <v>-106.95347673836919</v>
      </c>
    </row>
    <row r="231" spans="1:7" x14ac:dyDescent="0.2">
      <c r="A231" s="6">
        <v>39082</v>
      </c>
      <c r="B231">
        <v>0.5</v>
      </c>
      <c r="C231">
        <v>0.5</v>
      </c>
      <c r="D231" t="e">
        <v>#DIV/0!</v>
      </c>
      <c r="E231">
        <v>999.5</v>
      </c>
      <c r="F231">
        <v>888.3</v>
      </c>
      <c r="G231">
        <v>798.83093525179856</v>
      </c>
    </row>
    <row r="232" spans="1:7" x14ac:dyDescent="0.2">
      <c r="A232" s="6">
        <v>39051</v>
      </c>
      <c r="B232">
        <v>0</v>
      </c>
      <c r="C232">
        <v>0.4</v>
      </c>
      <c r="D232">
        <v>100</v>
      </c>
      <c r="E232">
        <v>111.2</v>
      </c>
      <c r="F232">
        <v>101.60000000000001</v>
      </c>
      <c r="G232">
        <v>1058.3333333333335</v>
      </c>
    </row>
    <row r="233" spans="1:7" x14ac:dyDescent="0.2">
      <c r="A233" s="6">
        <v>39021</v>
      </c>
      <c r="B233">
        <v>-0.4</v>
      </c>
      <c r="C233">
        <v>9.9999999999999978E-2</v>
      </c>
      <c r="D233">
        <v>19.999999999999996</v>
      </c>
      <c r="E233">
        <v>9.6</v>
      </c>
      <c r="F233">
        <v>220.2</v>
      </c>
      <c r="G233">
        <v>104.55840455840456</v>
      </c>
    </row>
    <row r="234" spans="1:7" x14ac:dyDescent="0.2">
      <c r="A234" s="6">
        <v>38990</v>
      </c>
      <c r="B234">
        <v>-0.5</v>
      </c>
      <c r="C234">
        <v>-0.9</v>
      </c>
      <c r="D234">
        <v>-225</v>
      </c>
      <c r="E234">
        <v>-210.6</v>
      </c>
      <c r="F234">
        <v>-192</v>
      </c>
      <c r="G234">
        <v>-1032.258064516129</v>
      </c>
    </row>
    <row r="235" spans="1:7" x14ac:dyDescent="0.2">
      <c r="A235" s="6">
        <v>38960</v>
      </c>
      <c r="B235">
        <v>0.4</v>
      </c>
      <c r="C235">
        <v>-9.9999999999999978E-2</v>
      </c>
      <c r="D235">
        <v>-19.999999999999996</v>
      </c>
      <c r="E235">
        <v>-18.600000000000001</v>
      </c>
      <c r="F235">
        <v>-138</v>
      </c>
      <c r="G235">
        <v>-115.57788944723617</v>
      </c>
    </row>
    <row r="236" spans="1:7" x14ac:dyDescent="0.2">
      <c r="A236" s="6">
        <v>38929</v>
      </c>
      <c r="B236">
        <v>0.5</v>
      </c>
      <c r="C236">
        <v>0.3</v>
      </c>
      <c r="D236">
        <v>150</v>
      </c>
      <c r="E236">
        <v>119.4</v>
      </c>
      <c r="F236">
        <v>136.30000000000001</v>
      </c>
      <c r="G236">
        <v>806.50887573964519</v>
      </c>
    </row>
    <row r="237" spans="1:7" x14ac:dyDescent="0.2">
      <c r="A237" s="6">
        <v>38898</v>
      </c>
      <c r="B237">
        <v>0.2</v>
      </c>
      <c r="C237">
        <v>-9.9999999999999978E-2</v>
      </c>
      <c r="D237">
        <v>-33.333333333333329</v>
      </c>
      <c r="E237">
        <v>-16.899999999999999</v>
      </c>
      <c r="F237">
        <v>23.4</v>
      </c>
      <c r="G237">
        <v>58.064516129032263</v>
      </c>
    </row>
    <row r="238" spans="1:7" x14ac:dyDescent="0.2">
      <c r="A238" s="6">
        <v>38868</v>
      </c>
      <c r="B238">
        <v>0.3</v>
      </c>
      <c r="C238">
        <v>-0.2</v>
      </c>
      <c r="D238">
        <v>-40</v>
      </c>
      <c r="E238">
        <v>-40.299999999999997</v>
      </c>
      <c r="F238">
        <v>-273.10000000000002</v>
      </c>
      <c r="G238">
        <v>-117.31099656357389</v>
      </c>
    </row>
    <row r="239" spans="1:7" x14ac:dyDescent="0.2">
      <c r="A239" s="6">
        <v>38837</v>
      </c>
      <c r="B239">
        <v>0.5</v>
      </c>
      <c r="C239">
        <v>0.3</v>
      </c>
      <c r="D239">
        <v>150</v>
      </c>
      <c r="E239">
        <v>232.8</v>
      </c>
      <c r="F239">
        <v>32.900000000000006</v>
      </c>
      <c r="G239">
        <v>16.45822911455728</v>
      </c>
    </row>
    <row r="240" spans="1:7" x14ac:dyDescent="0.2">
      <c r="A240" s="6">
        <v>38807</v>
      </c>
      <c r="B240">
        <v>0.2</v>
      </c>
      <c r="C240">
        <v>0.1</v>
      </c>
      <c r="D240">
        <v>100</v>
      </c>
      <c r="E240">
        <v>199.9</v>
      </c>
      <c r="F240">
        <v>291.60000000000002</v>
      </c>
      <c r="G240">
        <v>317.99345692475464</v>
      </c>
    </row>
    <row r="241" spans="1:7" x14ac:dyDescent="0.2">
      <c r="A241" s="6">
        <v>38776</v>
      </c>
      <c r="B241">
        <v>0.1</v>
      </c>
      <c r="C241">
        <v>-0.5</v>
      </c>
      <c r="D241">
        <v>-83.333333333333343</v>
      </c>
      <c r="E241">
        <v>-91.7</v>
      </c>
      <c r="F241" t="s">
        <v>11</v>
      </c>
      <c r="G241" t="s">
        <v>11</v>
      </c>
    </row>
    <row r="242" spans="1:7" x14ac:dyDescent="0.2">
      <c r="A242" s="6">
        <v>38748</v>
      </c>
      <c r="B242">
        <v>0.6</v>
      </c>
      <c r="C242">
        <v>0.6</v>
      </c>
      <c r="D242" t="e">
        <v>#DIV/0!</v>
      </c>
      <c r="E242" t="s">
        <v>12</v>
      </c>
      <c r="F242" t="s">
        <v>11</v>
      </c>
      <c r="G242" t="s">
        <v>11</v>
      </c>
    </row>
    <row r="243" spans="1:7" x14ac:dyDescent="0.2">
      <c r="A243" s="6">
        <v>38717</v>
      </c>
      <c r="B243">
        <v>0</v>
      </c>
      <c r="C243">
        <v>0.5</v>
      </c>
      <c r="D243">
        <v>100</v>
      </c>
      <c r="E243">
        <v>100</v>
      </c>
      <c r="F243">
        <v>532.79999999999995</v>
      </c>
      <c r="G243">
        <v>123.1053604436229</v>
      </c>
    </row>
    <row r="244" spans="1:7" x14ac:dyDescent="0.2">
      <c r="A244" s="6">
        <v>38686</v>
      </c>
      <c r="B244">
        <v>-0.5</v>
      </c>
      <c r="C244">
        <v>-0.7</v>
      </c>
      <c r="D244">
        <v>-350</v>
      </c>
      <c r="E244">
        <v>-432.8</v>
      </c>
      <c r="F244">
        <v>-343.8</v>
      </c>
      <c r="G244">
        <v>-386.29213483146066</v>
      </c>
    </row>
    <row r="245" spans="1:7" x14ac:dyDescent="0.2">
      <c r="A245" s="6">
        <v>38656</v>
      </c>
      <c r="B245">
        <v>0.2</v>
      </c>
      <c r="E245">
        <v>-89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B1A5-7BCF-45E2-B0AE-616B90397265}">
  <dimension ref="A1:H125"/>
  <sheetViews>
    <sheetView workbookViewId="0">
      <selection activeCell="M32" sqref="M32"/>
    </sheetView>
  </sheetViews>
  <sheetFormatPr baseColWidth="10" defaultColWidth="8.83203125" defaultRowHeight="15" outlineLevelCol="1" x14ac:dyDescent="0.2"/>
  <cols>
    <col min="1" max="1" width="15.5" customWidth="1"/>
    <col min="2" max="2" width="16" bestFit="1" customWidth="1"/>
    <col min="3" max="7" width="9.1640625" hidden="1" customWidth="1" outlineLevel="1"/>
    <col min="8" max="8" width="9.1640625" collapsed="1"/>
  </cols>
  <sheetData>
    <row r="1" spans="1:8" x14ac:dyDescent="0.2">
      <c r="A1" t="s">
        <v>0</v>
      </c>
      <c r="B1" t="s">
        <v>39</v>
      </c>
    </row>
    <row r="2" spans="1:8" x14ac:dyDescent="0.2">
      <c r="A2" t="s">
        <v>2</v>
      </c>
      <c r="B2" s="5">
        <v>35064</v>
      </c>
    </row>
    <row r="3" spans="1:8" x14ac:dyDescent="0.2">
      <c r="A3" t="s">
        <v>3</v>
      </c>
      <c r="B3" s="5">
        <v>45838</v>
      </c>
    </row>
    <row r="4" spans="1:8" x14ac:dyDescent="0.2">
      <c r="A4" t="s">
        <v>4</v>
      </c>
      <c r="B4" t="s">
        <v>19</v>
      </c>
      <c r="H4" t="s">
        <v>40</v>
      </c>
    </row>
    <row r="6" spans="1:8" x14ac:dyDescent="0.2">
      <c r="A6" t="s">
        <v>6</v>
      </c>
      <c r="B6" t="s">
        <v>41</v>
      </c>
      <c r="C6" t="s">
        <v>8</v>
      </c>
      <c r="D6" t="s">
        <v>9</v>
      </c>
      <c r="E6" t="s">
        <v>10</v>
      </c>
      <c r="F6" t="s">
        <v>8</v>
      </c>
      <c r="G6" t="s">
        <v>9</v>
      </c>
    </row>
    <row r="7" spans="1:8" x14ac:dyDescent="0.2">
      <c r="A7" s="6">
        <v>45838</v>
      </c>
      <c r="B7">
        <v>0.9</v>
      </c>
      <c r="C7">
        <v>1.1000000000000001</v>
      </c>
      <c r="D7">
        <v>550</v>
      </c>
      <c r="E7">
        <v>682.1</v>
      </c>
      <c r="F7">
        <v>817.40000000000009</v>
      </c>
      <c r="G7">
        <v>604.138950480414</v>
      </c>
    </row>
    <row r="8" spans="1:8" x14ac:dyDescent="0.2">
      <c r="A8" s="6">
        <v>45747</v>
      </c>
      <c r="B8">
        <v>-0.2</v>
      </c>
      <c r="C8">
        <v>-0.7</v>
      </c>
      <c r="D8">
        <v>-140</v>
      </c>
      <c r="E8">
        <v>-135.30000000000001</v>
      </c>
      <c r="F8">
        <v>-91.100000000000009</v>
      </c>
      <c r="G8">
        <v>-206.10859728506787</v>
      </c>
    </row>
    <row r="9" spans="1:8" x14ac:dyDescent="0.2">
      <c r="A9" s="6">
        <v>45657</v>
      </c>
      <c r="B9">
        <v>0.5</v>
      </c>
      <c r="C9">
        <v>-0.30000000000000004</v>
      </c>
      <c r="D9">
        <v>-37.5</v>
      </c>
      <c r="E9">
        <v>-44.2</v>
      </c>
      <c r="F9">
        <v>-37.300000000000004</v>
      </c>
      <c r="G9">
        <v>-540.57971014492762</v>
      </c>
    </row>
    <row r="10" spans="1:8" x14ac:dyDescent="0.2">
      <c r="A10" s="6">
        <v>45565</v>
      </c>
      <c r="B10">
        <v>0.8</v>
      </c>
      <c r="C10">
        <v>-9.9999999999999978E-2</v>
      </c>
      <c r="D10">
        <v>-11.111111111111109</v>
      </c>
      <c r="E10">
        <v>-6.9</v>
      </c>
      <c r="F10">
        <v>-328.79999999999995</v>
      </c>
      <c r="G10">
        <v>-102.143522833178</v>
      </c>
    </row>
    <row r="11" spans="1:8" x14ac:dyDescent="0.2">
      <c r="A11" s="6">
        <v>45473</v>
      </c>
      <c r="B11">
        <v>0.9</v>
      </c>
      <c r="C11">
        <v>0.7</v>
      </c>
      <c r="D11">
        <v>350</v>
      </c>
      <c r="E11">
        <v>321.89999999999998</v>
      </c>
      <c r="F11">
        <v>397</v>
      </c>
      <c r="G11">
        <v>528.62849533954727</v>
      </c>
    </row>
    <row r="12" spans="1:8" x14ac:dyDescent="0.2">
      <c r="A12" s="6">
        <v>45382</v>
      </c>
      <c r="B12">
        <v>0.2</v>
      </c>
      <c r="C12">
        <v>-0.60000000000000009</v>
      </c>
      <c r="D12">
        <v>-75</v>
      </c>
      <c r="E12">
        <v>-75.099999999999994</v>
      </c>
      <c r="F12">
        <v>-48.3</v>
      </c>
      <c r="G12">
        <v>-180.22388059701493</v>
      </c>
    </row>
    <row r="13" spans="1:8" x14ac:dyDescent="0.2">
      <c r="A13" s="6">
        <v>45291</v>
      </c>
      <c r="B13">
        <v>0.8</v>
      </c>
      <c r="C13">
        <v>-0.39999999999999991</v>
      </c>
      <c r="D13">
        <v>-33.333333333333329</v>
      </c>
      <c r="E13">
        <v>-26.8</v>
      </c>
      <c r="F13">
        <v>-110.5</v>
      </c>
      <c r="G13">
        <v>-132.01911589008364</v>
      </c>
    </row>
    <row r="14" spans="1:8" x14ac:dyDescent="0.2">
      <c r="A14" s="6">
        <v>45199</v>
      </c>
      <c r="B14">
        <v>1.2</v>
      </c>
      <c r="C14">
        <v>0.6</v>
      </c>
      <c r="D14">
        <v>100</v>
      </c>
      <c r="E14">
        <v>83.7</v>
      </c>
      <c r="F14">
        <v>97</v>
      </c>
      <c r="G14">
        <v>729.32330827067665</v>
      </c>
    </row>
    <row r="15" spans="1:8" x14ac:dyDescent="0.2">
      <c r="A15" s="6">
        <v>45107</v>
      </c>
      <c r="B15">
        <v>0.6</v>
      </c>
      <c r="C15">
        <v>-9.9999999999999978E-2</v>
      </c>
      <c r="D15">
        <v>-14.285714285714285</v>
      </c>
      <c r="E15">
        <v>-13.3</v>
      </c>
      <c r="F15">
        <v>-18.200000000000003</v>
      </c>
      <c r="G15">
        <v>-371.42857142857144</v>
      </c>
    </row>
    <row r="16" spans="1:8" x14ac:dyDescent="0.2">
      <c r="A16" s="6">
        <v>45016</v>
      </c>
      <c r="B16">
        <v>0.7</v>
      </c>
      <c r="C16">
        <v>0</v>
      </c>
      <c r="D16">
        <v>0</v>
      </c>
      <c r="E16">
        <v>4.9000000000000004</v>
      </c>
      <c r="F16">
        <v>9.3000000000000007</v>
      </c>
      <c r="G16">
        <v>211.36363636363637</v>
      </c>
    </row>
    <row r="17" spans="1:7" x14ac:dyDescent="0.2">
      <c r="A17" s="6">
        <v>44926</v>
      </c>
      <c r="B17">
        <v>0.7</v>
      </c>
      <c r="C17">
        <v>0</v>
      </c>
      <c r="D17">
        <v>0</v>
      </c>
      <c r="E17">
        <v>-4.4000000000000004</v>
      </c>
      <c r="F17">
        <v>-365.59999999999997</v>
      </c>
      <c r="G17">
        <v>-101.21816168327797</v>
      </c>
    </row>
    <row r="18" spans="1:7" x14ac:dyDescent="0.2">
      <c r="A18" s="6">
        <v>44834</v>
      </c>
      <c r="B18">
        <v>0.7</v>
      </c>
      <c r="C18">
        <v>0.49999999999999994</v>
      </c>
      <c r="D18">
        <v>249.99999999999994</v>
      </c>
      <c r="E18">
        <v>361.2</v>
      </c>
      <c r="F18">
        <v>199.79999999999998</v>
      </c>
      <c r="G18">
        <v>123.79182156133828</v>
      </c>
    </row>
    <row r="19" spans="1:7" x14ac:dyDescent="0.2">
      <c r="A19" s="6">
        <v>44742</v>
      </c>
      <c r="B19">
        <v>0.2</v>
      </c>
      <c r="C19">
        <v>0.5</v>
      </c>
      <c r="D19">
        <v>166.66666666666669</v>
      </c>
      <c r="E19">
        <v>161.4</v>
      </c>
      <c r="F19">
        <v>276.3</v>
      </c>
      <c r="G19">
        <v>240.46997389033942</v>
      </c>
    </row>
    <row r="20" spans="1:7" x14ac:dyDescent="0.2">
      <c r="A20" s="6">
        <v>44651</v>
      </c>
      <c r="B20">
        <v>-0.3</v>
      </c>
      <c r="C20">
        <v>-2</v>
      </c>
      <c r="D20">
        <v>-117.64705882352942</v>
      </c>
      <c r="E20">
        <v>-114.9</v>
      </c>
      <c r="F20">
        <v>-222.9</v>
      </c>
      <c r="G20">
        <v>-206.38888888888889</v>
      </c>
    </row>
    <row r="21" spans="1:7" x14ac:dyDescent="0.2">
      <c r="A21" s="6">
        <v>44561</v>
      </c>
      <c r="B21">
        <v>1.7</v>
      </c>
      <c r="C21">
        <v>0.89999999999999991</v>
      </c>
      <c r="D21">
        <v>112.49999999999997</v>
      </c>
      <c r="E21">
        <v>108</v>
      </c>
      <c r="F21">
        <v>159.5</v>
      </c>
      <c r="G21">
        <v>309.70873786407765</v>
      </c>
    </row>
    <row r="22" spans="1:7" x14ac:dyDescent="0.2">
      <c r="A22" s="6">
        <v>44469</v>
      </c>
      <c r="B22">
        <v>0.8</v>
      </c>
      <c r="C22">
        <v>-0.89999999999999991</v>
      </c>
      <c r="D22">
        <v>-52.941176470588225</v>
      </c>
      <c r="E22">
        <v>-51.5</v>
      </c>
      <c r="F22">
        <v>-73.400000000000006</v>
      </c>
      <c r="G22">
        <v>-335.15981735159824</v>
      </c>
    </row>
    <row r="23" spans="1:7" x14ac:dyDescent="0.2">
      <c r="A23" s="6">
        <v>44377</v>
      </c>
      <c r="B23">
        <v>1.7</v>
      </c>
      <c r="C23">
        <v>0.30000000000000004</v>
      </c>
      <c r="D23">
        <v>21.428571428571434</v>
      </c>
      <c r="E23">
        <v>21.9</v>
      </c>
      <c r="F23">
        <v>-1.2000000000000028</v>
      </c>
      <c r="G23">
        <v>-5.1948051948052072</v>
      </c>
    </row>
    <row r="24" spans="1:7" x14ac:dyDescent="0.2">
      <c r="A24" s="6">
        <v>44286</v>
      </c>
      <c r="B24">
        <v>1.4</v>
      </c>
      <c r="C24">
        <v>0.29999999999999982</v>
      </c>
      <c r="D24">
        <v>27.272727272727256</v>
      </c>
      <c r="E24">
        <v>23.1</v>
      </c>
      <c r="F24">
        <v>108.5</v>
      </c>
      <c r="G24">
        <v>127.04918032786884</v>
      </c>
    </row>
    <row r="25" spans="1:7" x14ac:dyDescent="0.2">
      <c r="A25" s="6">
        <v>44196</v>
      </c>
      <c r="B25">
        <v>1.1000000000000001</v>
      </c>
      <c r="C25">
        <v>-6.6999999999999993</v>
      </c>
      <c r="D25">
        <v>-85.897435897435884</v>
      </c>
      <c r="E25">
        <v>-85.4</v>
      </c>
      <c r="F25">
        <v>-283.89999999999998</v>
      </c>
      <c r="G25">
        <v>-143.02267002518889</v>
      </c>
    </row>
    <row r="26" spans="1:7" x14ac:dyDescent="0.2">
      <c r="A26" s="6">
        <v>44104</v>
      </c>
      <c r="B26">
        <v>7.8</v>
      </c>
      <c r="C26">
        <v>15.7</v>
      </c>
      <c r="D26">
        <v>198.73417721518987</v>
      </c>
      <c r="E26">
        <v>198.5</v>
      </c>
      <c r="F26">
        <v>696.9</v>
      </c>
      <c r="G26">
        <v>139.8274478330658</v>
      </c>
    </row>
    <row r="27" spans="1:7" x14ac:dyDescent="0.2">
      <c r="A27" s="6">
        <v>44012</v>
      </c>
      <c r="B27">
        <v>-7.9</v>
      </c>
      <c r="C27">
        <v>-6.6000000000000005</v>
      </c>
      <c r="D27">
        <v>-507.69230769230768</v>
      </c>
      <c r="E27">
        <v>-498.4</v>
      </c>
      <c r="F27">
        <v>-205.39999999999998</v>
      </c>
      <c r="G27">
        <v>-70.102389078498277</v>
      </c>
    </row>
    <row r="28" spans="1:7" x14ac:dyDescent="0.2">
      <c r="A28" s="6">
        <v>43921</v>
      </c>
      <c r="B28">
        <v>-1.3</v>
      </c>
      <c r="C28">
        <v>-2</v>
      </c>
      <c r="D28">
        <v>-285.71428571428572</v>
      </c>
      <c r="E28">
        <v>-293</v>
      </c>
      <c r="F28">
        <v>-251.3</v>
      </c>
      <c r="G28">
        <v>-602.6378896882494</v>
      </c>
    </row>
    <row r="29" spans="1:7" x14ac:dyDescent="0.2">
      <c r="A29" s="6">
        <v>43830</v>
      </c>
      <c r="B29">
        <v>0.7</v>
      </c>
      <c r="C29">
        <v>-0.5</v>
      </c>
      <c r="D29">
        <v>-41.666666666666671</v>
      </c>
      <c r="E29">
        <v>-41.7</v>
      </c>
      <c r="F29">
        <v>-81.800000000000011</v>
      </c>
      <c r="G29">
        <v>-203.99002493765587</v>
      </c>
    </row>
    <row r="30" spans="1:7" x14ac:dyDescent="0.2">
      <c r="A30" s="6">
        <v>43738</v>
      </c>
      <c r="B30">
        <v>1.2</v>
      </c>
      <c r="C30">
        <v>0.39999999999999991</v>
      </c>
      <c r="D30">
        <v>49.999999999999986</v>
      </c>
      <c r="E30">
        <v>40.1</v>
      </c>
      <c r="F30">
        <v>6.3000000000000043</v>
      </c>
      <c r="G30">
        <v>18.639053254437886</v>
      </c>
    </row>
    <row r="31" spans="1:7" x14ac:dyDescent="0.2">
      <c r="A31" s="6">
        <v>43646</v>
      </c>
      <c r="B31">
        <v>0.8</v>
      </c>
      <c r="C31">
        <v>0.20000000000000007</v>
      </c>
      <c r="D31">
        <v>33.33333333333335</v>
      </c>
      <c r="E31">
        <v>33.799999999999997</v>
      </c>
      <c r="F31">
        <v>-307</v>
      </c>
      <c r="G31">
        <v>-90.082159624413137</v>
      </c>
    </row>
    <row r="32" spans="1:7" x14ac:dyDescent="0.2">
      <c r="A32" s="6">
        <v>43555</v>
      </c>
      <c r="B32">
        <v>0.6</v>
      </c>
      <c r="C32">
        <v>0.5</v>
      </c>
      <c r="D32">
        <v>500</v>
      </c>
      <c r="E32">
        <v>340.8</v>
      </c>
      <c r="F32">
        <v>418.1</v>
      </c>
      <c r="G32">
        <v>540.87968952134543</v>
      </c>
    </row>
    <row r="33" spans="1:7" x14ac:dyDescent="0.2">
      <c r="A33" s="6">
        <v>43465</v>
      </c>
      <c r="B33">
        <v>0.1</v>
      </c>
      <c r="C33">
        <v>-0.5</v>
      </c>
      <c r="D33">
        <v>-83.333333333333343</v>
      </c>
      <c r="E33">
        <v>-77.3</v>
      </c>
      <c r="F33">
        <v>-94.8</v>
      </c>
      <c r="G33">
        <v>-541.71428571428567</v>
      </c>
    </row>
    <row r="34" spans="1:7" x14ac:dyDescent="0.2">
      <c r="A34" s="6">
        <v>43373</v>
      </c>
      <c r="B34">
        <v>0.6</v>
      </c>
      <c r="C34">
        <v>9.9999999999999978E-2</v>
      </c>
      <c r="D34">
        <v>19.999999999999996</v>
      </c>
      <c r="E34">
        <v>17.5</v>
      </c>
      <c r="F34">
        <v>52.2</v>
      </c>
      <c r="G34">
        <v>150.4322766570605</v>
      </c>
    </row>
    <row r="35" spans="1:7" x14ac:dyDescent="0.2">
      <c r="A35" s="6">
        <v>43281</v>
      </c>
      <c r="B35">
        <v>0.5</v>
      </c>
      <c r="C35">
        <v>-0.30000000000000004</v>
      </c>
      <c r="D35">
        <v>-37.5</v>
      </c>
      <c r="E35">
        <v>-34.700000000000003</v>
      </c>
      <c r="F35">
        <v>-6.9000000000000021</v>
      </c>
      <c r="G35">
        <v>-24.820143884892094</v>
      </c>
    </row>
    <row r="36" spans="1:7" x14ac:dyDescent="0.2">
      <c r="A36" s="6">
        <v>43190</v>
      </c>
      <c r="B36">
        <v>0.8</v>
      </c>
      <c r="C36">
        <v>-0.30000000000000004</v>
      </c>
      <c r="D36">
        <v>-27.272727272727273</v>
      </c>
      <c r="E36">
        <v>-27.8</v>
      </c>
      <c r="F36">
        <v>-70.7</v>
      </c>
      <c r="G36">
        <v>-164.80186480186481</v>
      </c>
    </row>
    <row r="37" spans="1:7" x14ac:dyDescent="0.2">
      <c r="A37" s="6">
        <v>43100</v>
      </c>
      <c r="B37">
        <v>1.1000000000000001</v>
      </c>
      <c r="C37">
        <v>0.30000000000000004</v>
      </c>
      <c r="D37">
        <v>37.5</v>
      </c>
      <c r="E37">
        <v>42.9</v>
      </c>
      <c r="F37">
        <v>2.1000000000000014</v>
      </c>
      <c r="G37">
        <v>5.1470588235294157</v>
      </c>
    </row>
    <row r="38" spans="1:7" x14ac:dyDescent="0.2">
      <c r="A38" s="6">
        <v>43008</v>
      </c>
      <c r="B38">
        <v>0.8</v>
      </c>
      <c r="C38">
        <v>0.20000000000000007</v>
      </c>
      <c r="D38">
        <v>33.33333333333335</v>
      </c>
      <c r="E38">
        <v>40.799999999999997</v>
      </c>
      <c r="F38">
        <v>25.799999999999997</v>
      </c>
      <c r="G38">
        <v>171.99999999999997</v>
      </c>
    </row>
    <row r="39" spans="1:7" x14ac:dyDescent="0.2">
      <c r="A39" s="6">
        <v>42916</v>
      </c>
      <c r="B39">
        <v>0.6</v>
      </c>
      <c r="C39">
        <v>9.9999999999999978E-2</v>
      </c>
      <c r="D39">
        <v>19.999999999999996</v>
      </c>
      <c r="E39">
        <v>15</v>
      </c>
      <c r="F39">
        <v>27.2</v>
      </c>
      <c r="G39">
        <v>222.95081967213116</v>
      </c>
    </row>
    <row r="40" spans="1:7" x14ac:dyDescent="0.2">
      <c r="A40" s="6">
        <v>42825</v>
      </c>
      <c r="B40">
        <v>0.5</v>
      </c>
      <c r="C40">
        <v>-9.9999999999999978E-2</v>
      </c>
      <c r="D40">
        <v>-16.666666666666664</v>
      </c>
      <c r="E40">
        <v>-12.2</v>
      </c>
      <c r="F40">
        <v>9.6999999999999993</v>
      </c>
      <c r="G40">
        <v>44.292237442922371</v>
      </c>
    </row>
    <row r="41" spans="1:7" x14ac:dyDescent="0.2">
      <c r="A41" s="6">
        <v>42735</v>
      </c>
      <c r="B41">
        <v>0.6</v>
      </c>
      <c r="C41">
        <v>-9.9999999999999978E-2</v>
      </c>
      <c r="D41">
        <v>-14.285714285714285</v>
      </c>
      <c r="E41">
        <v>-21.9</v>
      </c>
      <c r="F41">
        <v>-142.80000000000001</v>
      </c>
      <c r="G41">
        <v>-118.11414392059554</v>
      </c>
    </row>
    <row r="42" spans="1:7" x14ac:dyDescent="0.2">
      <c r="A42" s="6">
        <v>42643</v>
      </c>
      <c r="B42">
        <v>0.7</v>
      </c>
      <c r="C42">
        <v>0.39999999999999997</v>
      </c>
      <c r="D42">
        <v>133.33333333333334</v>
      </c>
      <c r="E42">
        <v>120.9</v>
      </c>
      <c r="F42">
        <v>165.5</v>
      </c>
      <c r="G42">
        <v>371.07623318385652</v>
      </c>
    </row>
    <row r="43" spans="1:7" x14ac:dyDescent="0.2">
      <c r="A43" s="6">
        <v>42551</v>
      </c>
      <c r="B43">
        <v>0.3</v>
      </c>
      <c r="C43">
        <v>-0.3</v>
      </c>
      <c r="D43">
        <v>-50</v>
      </c>
      <c r="E43">
        <v>-44.6</v>
      </c>
      <c r="F43">
        <v>-258.8</v>
      </c>
      <c r="G43">
        <v>-120.8216619981326</v>
      </c>
    </row>
    <row r="44" spans="1:7" x14ac:dyDescent="0.2">
      <c r="A44" s="6">
        <v>42460</v>
      </c>
      <c r="B44">
        <v>0.6</v>
      </c>
      <c r="C44">
        <v>0.39999999999999997</v>
      </c>
      <c r="D44">
        <v>200</v>
      </c>
      <c r="E44">
        <v>214.2</v>
      </c>
      <c r="F44">
        <v>268.09999999999997</v>
      </c>
      <c r="G44">
        <v>497.40259740259734</v>
      </c>
    </row>
    <row r="45" spans="1:7" x14ac:dyDescent="0.2">
      <c r="A45" s="6">
        <v>42369</v>
      </c>
      <c r="B45">
        <v>0.2</v>
      </c>
      <c r="C45">
        <v>-0.2</v>
      </c>
      <c r="D45">
        <v>-50</v>
      </c>
      <c r="E45">
        <v>-53.9</v>
      </c>
      <c r="F45">
        <v>-18.5</v>
      </c>
      <c r="G45">
        <v>-52.259887005649716</v>
      </c>
    </row>
    <row r="46" spans="1:7" x14ac:dyDescent="0.2">
      <c r="A46" s="6">
        <v>42277</v>
      </c>
      <c r="B46">
        <v>0.4</v>
      </c>
      <c r="C46">
        <v>-0.19999999999999996</v>
      </c>
      <c r="D46">
        <v>-33.333333333333329</v>
      </c>
      <c r="E46">
        <v>-35.4</v>
      </c>
      <c r="F46">
        <v>-4.1999999999999993</v>
      </c>
      <c r="G46">
        <v>-13.46153846153846</v>
      </c>
    </row>
    <row r="47" spans="1:7" x14ac:dyDescent="0.2">
      <c r="A47" s="6">
        <v>42185</v>
      </c>
      <c r="B47">
        <v>0.6</v>
      </c>
      <c r="C47">
        <v>-0.30000000000000004</v>
      </c>
      <c r="D47">
        <v>-33.333333333333336</v>
      </c>
      <c r="E47">
        <v>-31.2</v>
      </c>
      <c r="F47">
        <v>-109.3</v>
      </c>
      <c r="G47">
        <v>-139.94878361075544</v>
      </c>
    </row>
    <row r="48" spans="1:7" x14ac:dyDescent="0.2">
      <c r="A48" s="6">
        <v>42094</v>
      </c>
      <c r="B48">
        <v>0.9</v>
      </c>
      <c r="C48">
        <v>0.4</v>
      </c>
      <c r="D48">
        <v>80</v>
      </c>
      <c r="E48">
        <v>78.099999999999994</v>
      </c>
      <c r="F48">
        <v>136.5</v>
      </c>
      <c r="G48">
        <v>233.73287671232876</v>
      </c>
    </row>
    <row r="49" spans="1:7" x14ac:dyDescent="0.2">
      <c r="A49" s="6">
        <v>42004</v>
      </c>
      <c r="B49">
        <v>0.5</v>
      </c>
      <c r="C49">
        <v>-0.7</v>
      </c>
      <c r="D49">
        <v>-58.333333333333336</v>
      </c>
      <c r="E49">
        <v>-58.4</v>
      </c>
      <c r="F49">
        <v>-52.5</v>
      </c>
      <c r="G49">
        <v>-889.83050847457616</v>
      </c>
    </row>
    <row r="50" spans="1:7" x14ac:dyDescent="0.2">
      <c r="A50" s="6">
        <v>41912</v>
      </c>
      <c r="B50">
        <v>1.2</v>
      </c>
      <c r="C50">
        <v>-0.10000000000000009</v>
      </c>
      <c r="D50">
        <v>-7.6923076923076987</v>
      </c>
      <c r="E50">
        <v>-5.9</v>
      </c>
      <c r="F50">
        <v>-480.2</v>
      </c>
      <c r="G50">
        <v>-101.24393843558929</v>
      </c>
    </row>
    <row r="51" spans="1:7" x14ac:dyDescent="0.2">
      <c r="A51" s="6">
        <v>41820</v>
      </c>
      <c r="B51">
        <v>1.3</v>
      </c>
      <c r="C51">
        <v>1.6</v>
      </c>
      <c r="D51">
        <v>533.33333333333337</v>
      </c>
      <c r="E51">
        <v>474.3</v>
      </c>
      <c r="F51">
        <v>613.9</v>
      </c>
      <c r="G51">
        <v>439.756446991404</v>
      </c>
    </row>
    <row r="52" spans="1:7" x14ac:dyDescent="0.2">
      <c r="A52" s="6">
        <v>41729</v>
      </c>
      <c r="B52">
        <v>-0.3</v>
      </c>
      <c r="C52">
        <v>-1.2</v>
      </c>
      <c r="D52">
        <v>-133.33333333333334</v>
      </c>
      <c r="E52">
        <v>-139.6</v>
      </c>
      <c r="F52">
        <v>-142</v>
      </c>
      <c r="G52">
        <v>-5916.666666666667</v>
      </c>
    </row>
    <row r="53" spans="1:7" x14ac:dyDescent="0.2">
      <c r="A53" s="6">
        <v>41639</v>
      </c>
      <c r="B53">
        <v>0.9</v>
      </c>
      <c r="C53">
        <v>0</v>
      </c>
      <c r="D53">
        <v>0</v>
      </c>
      <c r="E53">
        <v>2.4</v>
      </c>
      <c r="F53">
        <v>-215.7</v>
      </c>
      <c r="G53">
        <v>-98.899587345254474</v>
      </c>
    </row>
    <row r="54" spans="1:7" x14ac:dyDescent="0.2">
      <c r="A54" s="6">
        <v>41547</v>
      </c>
      <c r="B54">
        <v>0.9</v>
      </c>
      <c r="C54">
        <v>0.60000000000000009</v>
      </c>
      <c r="D54">
        <v>200.00000000000003</v>
      </c>
      <c r="E54">
        <v>218.1</v>
      </c>
      <c r="F54">
        <v>291</v>
      </c>
      <c r="G54">
        <v>399.17695473251024</v>
      </c>
    </row>
    <row r="55" spans="1:7" x14ac:dyDescent="0.2">
      <c r="A55" s="6">
        <v>41455</v>
      </c>
      <c r="B55">
        <v>0.3</v>
      </c>
      <c r="C55">
        <v>-0.7</v>
      </c>
      <c r="D55">
        <v>-70</v>
      </c>
      <c r="E55">
        <v>-72.900000000000006</v>
      </c>
      <c r="F55">
        <v>-826</v>
      </c>
      <c r="G55">
        <v>-109.67998937724073</v>
      </c>
    </row>
    <row r="56" spans="1:7" x14ac:dyDescent="0.2">
      <c r="A56" s="6">
        <v>41364</v>
      </c>
      <c r="B56">
        <v>1</v>
      </c>
      <c r="C56">
        <v>0.9</v>
      </c>
      <c r="D56">
        <v>900</v>
      </c>
      <c r="E56">
        <v>753.1</v>
      </c>
      <c r="F56">
        <v>772.80000000000007</v>
      </c>
      <c r="G56">
        <v>3922.8426395939086</v>
      </c>
    </row>
    <row r="57" spans="1:7" x14ac:dyDescent="0.2">
      <c r="A57" s="6">
        <v>41274</v>
      </c>
      <c r="B57">
        <v>0.1</v>
      </c>
      <c r="C57">
        <v>0</v>
      </c>
      <c r="D57">
        <v>0</v>
      </c>
      <c r="E57">
        <v>-19.7</v>
      </c>
      <c r="F57">
        <v>48</v>
      </c>
      <c r="G57">
        <v>70.901033973412112</v>
      </c>
    </row>
    <row r="58" spans="1:7" x14ac:dyDescent="0.2">
      <c r="A58" s="6">
        <v>41182</v>
      </c>
      <c r="B58">
        <v>0.1</v>
      </c>
      <c r="C58">
        <v>-0.30000000000000004</v>
      </c>
      <c r="D58">
        <v>-75</v>
      </c>
      <c r="E58">
        <v>-67.7</v>
      </c>
      <c r="F58">
        <v>-20.900000000000006</v>
      </c>
      <c r="G58">
        <v>-44.658119658119674</v>
      </c>
    </row>
    <row r="59" spans="1:7" x14ac:dyDescent="0.2">
      <c r="A59" s="6">
        <v>41090</v>
      </c>
      <c r="B59">
        <v>0.4</v>
      </c>
      <c r="C59">
        <v>-0.4</v>
      </c>
      <c r="D59">
        <v>-50</v>
      </c>
      <c r="E59">
        <v>-46.8</v>
      </c>
      <c r="F59">
        <v>-21.499999999999996</v>
      </c>
      <c r="G59">
        <v>-84.980237154150174</v>
      </c>
    </row>
    <row r="60" spans="1:7" x14ac:dyDescent="0.2">
      <c r="A60" s="6">
        <v>40999</v>
      </c>
      <c r="B60">
        <v>0.8</v>
      </c>
      <c r="C60">
        <v>-0.30000000000000004</v>
      </c>
      <c r="D60">
        <v>-27.272727272727273</v>
      </c>
      <c r="E60">
        <v>-25.3</v>
      </c>
      <c r="F60">
        <v>-5159.1000000000004</v>
      </c>
      <c r="G60">
        <v>-100.49281234173517</v>
      </c>
    </row>
    <row r="61" spans="1:7" x14ac:dyDescent="0.2">
      <c r="A61" s="6">
        <v>40908</v>
      </c>
      <c r="B61">
        <v>1.1000000000000001</v>
      </c>
      <c r="C61">
        <v>1.1000000000000001</v>
      </c>
      <c r="D61" t="e">
        <v>#DIV/0!</v>
      </c>
      <c r="E61">
        <v>5133.8</v>
      </c>
      <c r="F61">
        <v>5237.1000000000004</v>
      </c>
      <c r="G61">
        <v>5069.7967086156832</v>
      </c>
    </row>
    <row r="62" spans="1:7" x14ac:dyDescent="0.2">
      <c r="A62" s="6">
        <v>40816</v>
      </c>
      <c r="B62">
        <v>0</v>
      </c>
      <c r="C62">
        <v>-0.7</v>
      </c>
      <c r="D62">
        <v>-100</v>
      </c>
      <c r="E62">
        <v>-103.3</v>
      </c>
      <c r="F62">
        <v>-488.5</v>
      </c>
      <c r="G62">
        <v>-126.81723779854622</v>
      </c>
    </row>
    <row r="63" spans="1:7" x14ac:dyDescent="0.2">
      <c r="A63" s="6">
        <v>40724</v>
      </c>
      <c r="B63">
        <v>0.7</v>
      </c>
      <c r="C63">
        <v>0.89999999999999991</v>
      </c>
      <c r="D63">
        <v>449.99999999999989</v>
      </c>
      <c r="E63">
        <v>385.2</v>
      </c>
      <c r="F63">
        <v>530.4</v>
      </c>
      <c r="G63">
        <v>365.28925619834712</v>
      </c>
    </row>
    <row r="64" spans="1:7" x14ac:dyDescent="0.2">
      <c r="A64" s="6">
        <v>40633</v>
      </c>
      <c r="B64">
        <v>-0.2</v>
      </c>
      <c r="C64">
        <v>-0.7</v>
      </c>
      <c r="D64">
        <v>-140</v>
      </c>
      <c r="E64">
        <v>-145.19999999999999</v>
      </c>
      <c r="F64">
        <v>-113.29999999999998</v>
      </c>
      <c r="G64">
        <v>-355.17241379310343</v>
      </c>
    </row>
    <row r="65" spans="1:7" x14ac:dyDescent="0.2">
      <c r="A65" s="6">
        <v>40543</v>
      </c>
      <c r="B65">
        <v>0.5</v>
      </c>
      <c r="C65">
        <v>-0.30000000000000004</v>
      </c>
      <c r="D65">
        <v>-37.5</v>
      </c>
      <c r="E65">
        <v>-31.9</v>
      </c>
      <c r="F65">
        <v>-11.599999999999998</v>
      </c>
      <c r="G65">
        <v>-57.142857142857132</v>
      </c>
    </row>
    <row r="66" spans="1:7" x14ac:dyDescent="0.2">
      <c r="A66" s="6">
        <v>40451</v>
      </c>
      <c r="B66">
        <v>0.8</v>
      </c>
      <c r="C66">
        <v>-0.19999999999999996</v>
      </c>
      <c r="D66">
        <v>-19.999999999999996</v>
      </c>
      <c r="E66">
        <v>-20.3</v>
      </c>
      <c r="F66">
        <v>-120</v>
      </c>
      <c r="G66">
        <v>-120.36108324974924</v>
      </c>
    </row>
    <row r="67" spans="1:7" x14ac:dyDescent="0.2">
      <c r="A67" s="6">
        <v>40359</v>
      </c>
      <c r="B67">
        <v>1</v>
      </c>
      <c r="C67">
        <v>0.5</v>
      </c>
      <c r="D67">
        <v>100</v>
      </c>
      <c r="E67">
        <v>99.7</v>
      </c>
      <c r="F67">
        <v>154.9</v>
      </c>
      <c r="G67">
        <v>280.6159420289855</v>
      </c>
    </row>
    <row r="68" spans="1:7" x14ac:dyDescent="0.2">
      <c r="A68" s="6">
        <v>40268</v>
      </c>
      <c r="B68">
        <v>0.5</v>
      </c>
      <c r="C68">
        <v>-0.60000000000000009</v>
      </c>
      <c r="D68">
        <v>-54.545454545454547</v>
      </c>
      <c r="E68">
        <v>-55.2</v>
      </c>
      <c r="F68">
        <v>-263</v>
      </c>
      <c r="G68">
        <v>-126.56400384985562</v>
      </c>
    </row>
    <row r="69" spans="1:7" x14ac:dyDescent="0.2">
      <c r="A69" s="6">
        <v>40178</v>
      </c>
      <c r="B69">
        <v>1.1000000000000001</v>
      </c>
      <c r="C69">
        <v>0.70000000000000007</v>
      </c>
      <c r="D69">
        <v>175</v>
      </c>
      <c r="E69">
        <v>207.8</v>
      </c>
      <c r="F69">
        <v>-88.800000000000011</v>
      </c>
      <c r="G69">
        <v>-29.939312204989889</v>
      </c>
    </row>
    <row r="70" spans="1:7" x14ac:dyDescent="0.2">
      <c r="A70" s="6">
        <v>40086</v>
      </c>
      <c r="B70">
        <v>0.4</v>
      </c>
      <c r="C70">
        <v>0.60000000000000009</v>
      </c>
      <c r="D70">
        <v>300</v>
      </c>
      <c r="E70">
        <v>296.60000000000002</v>
      </c>
      <c r="F70">
        <v>212.3</v>
      </c>
      <c r="G70">
        <v>251.83867141162514</v>
      </c>
    </row>
    <row r="71" spans="1:7" x14ac:dyDescent="0.2">
      <c r="A71" s="6">
        <v>39994</v>
      </c>
      <c r="B71">
        <v>-0.2</v>
      </c>
      <c r="C71">
        <v>0.90000000000000013</v>
      </c>
      <c r="D71">
        <v>81.818181818181827</v>
      </c>
      <c r="E71">
        <v>84.3</v>
      </c>
      <c r="F71">
        <v>36.099999999999994</v>
      </c>
      <c r="G71">
        <v>74.896265560165958</v>
      </c>
    </row>
    <row r="72" spans="1:7" x14ac:dyDescent="0.2">
      <c r="A72" s="6">
        <v>39903</v>
      </c>
      <c r="B72">
        <v>-1.1000000000000001</v>
      </c>
      <c r="C72">
        <v>1.1000000000000001</v>
      </c>
      <c r="D72">
        <v>50</v>
      </c>
      <c r="E72">
        <v>48.2</v>
      </c>
      <c r="F72">
        <v>365</v>
      </c>
      <c r="G72">
        <v>115.21464646464646</v>
      </c>
    </row>
    <row r="73" spans="1:7" x14ac:dyDescent="0.2">
      <c r="A73" s="6">
        <v>39813</v>
      </c>
      <c r="B73">
        <v>-2.2000000000000002</v>
      </c>
      <c r="C73">
        <v>-1.7000000000000002</v>
      </c>
      <c r="D73">
        <v>-340.00000000000006</v>
      </c>
      <c r="E73">
        <v>-316.8</v>
      </c>
      <c r="F73">
        <v>-128.60000000000002</v>
      </c>
      <c r="G73">
        <v>-68.331562167906498</v>
      </c>
    </row>
    <row r="74" spans="1:7" x14ac:dyDescent="0.2">
      <c r="A74" s="6">
        <v>39721</v>
      </c>
      <c r="B74">
        <v>-0.5</v>
      </c>
      <c r="C74">
        <v>-1.1000000000000001</v>
      </c>
      <c r="D74">
        <v>-183.33333333333337</v>
      </c>
      <c r="E74">
        <v>-188.2</v>
      </c>
      <c r="F74">
        <v>-427.7</v>
      </c>
      <c r="G74">
        <v>-178.58037578288099</v>
      </c>
    </row>
    <row r="75" spans="1:7" x14ac:dyDescent="0.2">
      <c r="A75" s="6">
        <v>39629</v>
      </c>
      <c r="B75">
        <v>0.6</v>
      </c>
      <c r="C75">
        <v>1</v>
      </c>
      <c r="D75">
        <v>250</v>
      </c>
      <c r="E75">
        <v>239.5</v>
      </c>
      <c r="F75">
        <v>407.4</v>
      </c>
      <c r="G75">
        <v>242.64443120905301</v>
      </c>
    </row>
    <row r="76" spans="1:7" x14ac:dyDescent="0.2">
      <c r="A76" s="6">
        <v>39538</v>
      </c>
      <c r="B76">
        <v>-0.4</v>
      </c>
      <c r="C76">
        <v>-1</v>
      </c>
      <c r="D76">
        <v>-166.66666666666669</v>
      </c>
      <c r="E76">
        <v>-167.9</v>
      </c>
      <c r="F76">
        <v>-177</v>
      </c>
      <c r="G76">
        <v>-1945.0549450549452</v>
      </c>
    </row>
    <row r="77" spans="1:7" x14ac:dyDescent="0.2">
      <c r="A77" s="6">
        <v>39447</v>
      </c>
      <c r="B77">
        <v>0.6</v>
      </c>
      <c r="C77">
        <v>0</v>
      </c>
      <c r="D77">
        <v>0</v>
      </c>
      <c r="E77">
        <v>9.1</v>
      </c>
      <c r="F77">
        <v>14.899999999999999</v>
      </c>
      <c r="G77">
        <v>256.89655172413791</v>
      </c>
    </row>
    <row r="78" spans="1:7" x14ac:dyDescent="0.2">
      <c r="A78" s="6">
        <v>39355</v>
      </c>
      <c r="B78">
        <v>0.6</v>
      </c>
      <c r="C78">
        <v>0</v>
      </c>
      <c r="D78">
        <v>0</v>
      </c>
      <c r="E78">
        <v>-5.8</v>
      </c>
      <c r="F78">
        <v>-109.2</v>
      </c>
      <c r="G78">
        <v>-105.60928433268859</v>
      </c>
    </row>
    <row r="79" spans="1:7" x14ac:dyDescent="0.2">
      <c r="A79" s="6">
        <v>39263</v>
      </c>
      <c r="B79">
        <v>0.6</v>
      </c>
      <c r="C79">
        <v>0.3</v>
      </c>
      <c r="D79">
        <v>100</v>
      </c>
      <c r="E79">
        <v>103.4</v>
      </c>
      <c r="F79">
        <v>168.4</v>
      </c>
      <c r="G79">
        <v>259.07692307692309</v>
      </c>
    </row>
    <row r="80" spans="1:7" x14ac:dyDescent="0.2">
      <c r="A80" s="6">
        <v>39172</v>
      </c>
      <c r="B80">
        <v>0.3</v>
      </c>
      <c r="C80">
        <v>-0.60000000000000009</v>
      </c>
      <c r="D80">
        <v>-66.666666666666671</v>
      </c>
      <c r="E80">
        <v>-65</v>
      </c>
      <c r="F80">
        <v>-538.1</v>
      </c>
      <c r="G80">
        <v>-113.73916719509617</v>
      </c>
    </row>
    <row r="81" spans="1:7" x14ac:dyDescent="0.2">
      <c r="A81" s="6">
        <v>39082</v>
      </c>
      <c r="B81">
        <v>0.9</v>
      </c>
      <c r="C81">
        <v>0.8</v>
      </c>
      <c r="D81">
        <v>800</v>
      </c>
      <c r="E81">
        <v>473.1</v>
      </c>
      <c r="F81">
        <v>515.1</v>
      </c>
      <c r="G81">
        <v>1226.4285714285713</v>
      </c>
    </row>
    <row r="82" spans="1:7" x14ac:dyDescent="0.2">
      <c r="A82" s="6">
        <v>38990</v>
      </c>
      <c r="B82">
        <v>0.1</v>
      </c>
      <c r="C82">
        <v>-0.19999999999999998</v>
      </c>
      <c r="D82">
        <v>-66.666666666666671</v>
      </c>
      <c r="E82">
        <v>-42</v>
      </c>
      <c r="F82">
        <v>38.799999999999997</v>
      </c>
      <c r="G82">
        <v>48.019801980198018</v>
      </c>
    </row>
    <row r="83" spans="1:7" x14ac:dyDescent="0.2">
      <c r="A83" s="6">
        <v>38898</v>
      </c>
      <c r="B83">
        <v>0.3</v>
      </c>
      <c r="C83">
        <v>-1</v>
      </c>
      <c r="D83">
        <v>-76.92307692307692</v>
      </c>
      <c r="E83">
        <v>-80.8</v>
      </c>
      <c r="F83">
        <v>-223</v>
      </c>
      <c r="G83">
        <v>-156.8213783403657</v>
      </c>
    </row>
    <row r="84" spans="1:7" x14ac:dyDescent="0.2">
      <c r="A84" s="6">
        <v>38807</v>
      </c>
      <c r="B84">
        <v>1.3</v>
      </c>
      <c r="C84">
        <v>0.70000000000000007</v>
      </c>
      <c r="D84">
        <v>116.66666666666667</v>
      </c>
      <c r="E84">
        <v>142.19999999999999</v>
      </c>
      <c r="F84">
        <v>171.29999999999998</v>
      </c>
      <c r="G84">
        <v>588.65979381443299</v>
      </c>
    </row>
    <row r="85" spans="1:7" x14ac:dyDescent="0.2">
      <c r="A85" s="6">
        <v>38717</v>
      </c>
      <c r="B85">
        <v>0.6</v>
      </c>
      <c r="C85">
        <v>-0.20000000000000007</v>
      </c>
      <c r="D85">
        <v>-25.000000000000007</v>
      </c>
      <c r="E85">
        <v>-29.1</v>
      </c>
      <c r="F85">
        <v>-88.2</v>
      </c>
      <c r="G85">
        <v>-149.23857868020303</v>
      </c>
    </row>
    <row r="86" spans="1:7" x14ac:dyDescent="0.2">
      <c r="A86" s="6">
        <v>38625</v>
      </c>
      <c r="B86">
        <v>0.8</v>
      </c>
      <c r="C86">
        <v>0.30000000000000004</v>
      </c>
      <c r="D86">
        <v>60.000000000000007</v>
      </c>
      <c r="E86">
        <v>59.1</v>
      </c>
      <c r="F86">
        <v>114.7</v>
      </c>
      <c r="G86">
        <v>206.29496402877697</v>
      </c>
    </row>
    <row r="87" spans="1:7" x14ac:dyDescent="0.2">
      <c r="A87" s="6">
        <v>38533</v>
      </c>
      <c r="B87">
        <v>0.5</v>
      </c>
      <c r="C87">
        <v>-0.60000000000000009</v>
      </c>
      <c r="D87">
        <v>-54.545454545454547</v>
      </c>
      <c r="E87">
        <v>-55.6</v>
      </c>
      <c r="F87">
        <v>-64.3</v>
      </c>
      <c r="G87">
        <v>-739.080459770115</v>
      </c>
    </row>
    <row r="88" spans="1:7" x14ac:dyDescent="0.2">
      <c r="A88" s="6">
        <v>38442</v>
      </c>
      <c r="B88">
        <v>1.1000000000000001</v>
      </c>
      <c r="C88">
        <v>0.10000000000000009</v>
      </c>
      <c r="D88">
        <v>10.000000000000009</v>
      </c>
      <c r="E88">
        <v>8.6999999999999993</v>
      </c>
      <c r="F88">
        <v>1.1999999999999993</v>
      </c>
      <c r="G88">
        <v>15.999999999999991</v>
      </c>
    </row>
    <row r="89" spans="1:7" x14ac:dyDescent="0.2">
      <c r="A89" s="6">
        <v>38352</v>
      </c>
      <c r="B89">
        <v>1</v>
      </c>
      <c r="C89">
        <v>9.9999999999999978E-2</v>
      </c>
      <c r="D89">
        <v>11.111111111111109</v>
      </c>
      <c r="E89">
        <v>7.5</v>
      </c>
      <c r="F89">
        <v>-14.899999999999999</v>
      </c>
      <c r="G89">
        <v>-66.517857142857139</v>
      </c>
    </row>
    <row r="90" spans="1:7" x14ac:dyDescent="0.2">
      <c r="A90" s="6">
        <v>38260</v>
      </c>
      <c r="B90">
        <v>0.9</v>
      </c>
      <c r="C90">
        <v>9.9999999999999978E-2</v>
      </c>
      <c r="D90">
        <v>12.499999999999996</v>
      </c>
      <c r="E90">
        <v>22.4</v>
      </c>
      <c r="F90">
        <v>-14.399999999999999</v>
      </c>
      <c r="G90">
        <v>-39.130434782608695</v>
      </c>
    </row>
    <row r="91" spans="1:7" x14ac:dyDescent="0.2">
      <c r="A91" s="6">
        <v>38168</v>
      </c>
      <c r="B91">
        <v>0.8</v>
      </c>
      <c r="C91">
        <v>0.20000000000000007</v>
      </c>
      <c r="D91">
        <v>33.33333333333335</v>
      </c>
      <c r="E91">
        <v>36.799999999999997</v>
      </c>
      <c r="F91">
        <v>88</v>
      </c>
      <c r="G91">
        <v>171.875</v>
      </c>
    </row>
    <row r="92" spans="1:7" x14ac:dyDescent="0.2">
      <c r="A92" s="6">
        <v>38077</v>
      </c>
      <c r="B92">
        <v>0.6</v>
      </c>
      <c r="C92">
        <v>-0.6</v>
      </c>
      <c r="D92">
        <v>-50</v>
      </c>
      <c r="E92">
        <v>-51.2</v>
      </c>
      <c r="F92">
        <v>-21.000000000000004</v>
      </c>
      <c r="G92">
        <v>-69.536423841059616</v>
      </c>
    </row>
    <row r="93" spans="1:7" x14ac:dyDescent="0.2">
      <c r="A93" s="6">
        <v>37986</v>
      </c>
      <c r="B93">
        <v>1.2</v>
      </c>
      <c r="C93">
        <v>-0.5</v>
      </c>
      <c r="D93">
        <v>-29.411764705882355</v>
      </c>
      <c r="E93">
        <v>-30.2</v>
      </c>
      <c r="F93">
        <v>-118</v>
      </c>
      <c r="G93">
        <v>-134.39635535307517</v>
      </c>
    </row>
    <row r="94" spans="1:7" x14ac:dyDescent="0.2">
      <c r="A94" s="6">
        <v>37894</v>
      </c>
      <c r="B94">
        <v>1.7</v>
      </c>
      <c r="C94">
        <v>0.79999999999999993</v>
      </c>
      <c r="D94">
        <v>88.888888888888886</v>
      </c>
      <c r="E94">
        <v>87.8</v>
      </c>
      <c r="F94">
        <v>19.599999999999994</v>
      </c>
      <c r="G94">
        <v>28.739002932551312</v>
      </c>
    </row>
    <row r="95" spans="1:7" x14ac:dyDescent="0.2">
      <c r="A95" s="6">
        <v>37802</v>
      </c>
      <c r="B95">
        <v>0.9</v>
      </c>
      <c r="C95">
        <v>0.4</v>
      </c>
      <c r="D95">
        <v>80</v>
      </c>
      <c r="E95">
        <v>68.2</v>
      </c>
      <c r="F95">
        <v>-257.8</v>
      </c>
      <c r="G95">
        <v>-79.079754601226995</v>
      </c>
    </row>
    <row r="96" spans="1:7" x14ac:dyDescent="0.2">
      <c r="A96" s="6">
        <v>37711</v>
      </c>
      <c r="B96">
        <v>0.5</v>
      </c>
      <c r="C96">
        <v>0.4</v>
      </c>
      <c r="D96">
        <v>400</v>
      </c>
      <c r="E96">
        <v>326</v>
      </c>
      <c r="F96">
        <v>395.6</v>
      </c>
      <c r="G96">
        <v>568.39080459770116</v>
      </c>
    </row>
    <row r="97" spans="1:7" x14ac:dyDescent="0.2">
      <c r="A97" s="6">
        <v>37621</v>
      </c>
      <c r="B97">
        <v>0.1</v>
      </c>
      <c r="C97">
        <v>-0.30000000000000004</v>
      </c>
      <c r="D97">
        <v>-75</v>
      </c>
      <c r="E97">
        <v>-69.599999999999994</v>
      </c>
      <c r="F97">
        <v>-35.899999999999991</v>
      </c>
      <c r="G97">
        <v>-106.52818991097919</v>
      </c>
    </row>
    <row r="98" spans="1:7" x14ac:dyDescent="0.2">
      <c r="A98" s="6">
        <v>37529</v>
      </c>
      <c r="B98">
        <v>0.4</v>
      </c>
      <c r="C98">
        <v>-0.19999999999999996</v>
      </c>
      <c r="D98">
        <v>-33.333333333333329</v>
      </c>
      <c r="E98">
        <v>-33.700000000000003</v>
      </c>
      <c r="F98">
        <v>-7.0000000000000036</v>
      </c>
      <c r="G98">
        <v>-26.217228464419488</v>
      </c>
    </row>
    <row r="99" spans="1:7" x14ac:dyDescent="0.2">
      <c r="A99" s="6">
        <v>37437</v>
      </c>
      <c r="B99">
        <v>0.6</v>
      </c>
      <c r="C99">
        <v>-0.20000000000000007</v>
      </c>
      <c r="D99">
        <v>-25.000000000000007</v>
      </c>
      <c r="E99">
        <v>-26.7</v>
      </c>
      <c r="F99">
        <v>-231.1</v>
      </c>
      <c r="G99">
        <v>-113.06262230919765</v>
      </c>
    </row>
    <row r="100" spans="1:7" x14ac:dyDescent="0.2">
      <c r="A100" s="6">
        <v>37346</v>
      </c>
      <c r="B100">
        <v>0.8</v>
      </c>
      <c r="C100">
        <v>0.5</v>
      </c>
      <c r="D100">
        <v>166.66666666666669</v>
      </c>
      <c r="E100">
        <v>204.4</v>
      </c>
      <c r="F100">
        <v>35.800000000000011</v>
      </c>
      <c r="G100">
        <v>21.233689205219459</v>
      </c>
    </row>
    <row r="101" spans="1:7" x14ac:dyDescent="0.2">
      <c r="A101" s="6">
        <v>37256</v>
      </c>
      <c r="B101">
        <v>0.3</v>
      </c>
      <c r="C101">
        <v>0.7</v>
      </c>
      <c r="D101">
        <v>175</v>
      </c>
      <c r="E101">
        <v>168.6</v>
      </c>
      <c r="F101">
        <v>332.79999999999995</v>
      </c>
      <c r="G101">
        <v>202.67965895249694</v>
      </c>
    </row>
    <row r="102" spans="1:7" x14ac:dyDescent="0.2">
      <c r="A102" s="6">
        <v>37164</v>
      </c>
      <c r="B102">
        <v>-0.4</v>
      </c>
      <c r="C102">
        <v>-1</v>
      </c>
      <c r="D102">
        <v>-166.66666666666669</v>
      </c>
      <c r="E102">
        <v>-164.2</v>
      </c>
      <c r="F102">
        <v>-454.7</v>
      </c>
      <c r="G102">
        <v>-156.52323580034422</v>
      </c>
    </row>
    <row r="103" spans="1:7" x14ac:dyDescent="0.2">
      <c r="A103" s="6">
        <v>37072</v>
      </c>
      <c r="B103">
        <v>0.6</v>
      </c>
      <c r="C103">
        <v>0.89999999999999991</v>
      </c>
      <c r="D103">
        <v>299.99999999999994</v>
      </c>
      <c r="E103">
        <v>290.5</v>
      </c>
      <c r="F103">
        <v>445.4</v>
      </c>
      <c r="G103">
        <v>287.54034861200773</v>
      </c>
    </row>
    <row r="104" spans="1:7" x14ac:dyDescent="0.2">
      <c r="A104" s="6">
        <v>36981</v>
      </c>
      <c r="B104">
        <v>-0.3</v>
      </c>
      <c r="C104">
        <v>-0.89999999999999991</v>
      </c>
      <c r="D104">
        <v>-149.99999999999997</v>
      </c>
      <c r="E104">
        <v>-154.9</v>
      </c>
      <c r="F104">
        <v>-640.6</v>
      </c>
      <c r="G104">
        <v>-131.89211447395513</v>
      </c>
    </row>
    <row r="105" spans="1:7" x14ac:dyDescent="0.2">
      <c r="A105" s="6">
        <v>36891</v>
      </c>
      <c r="B105">
        <v>0.6</v>
      </c>
      <c r="C105">
        <v>0.5</v>
      </c>
      <c r="D105">
        <v>500</v>
      </c>
      <c r="E105">
        <v>485.7</v>
      </c>
      <c r="F105">
        <v>580.1</v>
      </c>
      <c r="G105">
        <v>614.5127118644067</v>
      </c>
    </row>
    <row r="106" spans="1:7" x14ac:dyDescent="0.2">
      <c r="A106" s="6">
        <v>36799</v>
      </c>
      <c r="B106">
        <v>0.1</v>
      </c>
      <c r="C106">
        <v>-1.7</v>
      </c>
      <c r="D106">
        <v>-94.444444444444443</v>
      </c>
      <c r="E106">
        <v>-94.4</v>
      </c>
      <c r="F106">
        <v>-496.4</v>
      </c>
      <c r="G106">
        <v>-123.48258706467662</v>
      </c>
    </row>
    <row r="107" spans="1:7" x14ac:dyDescent="0.2">
      <c r="A107" s="6">
        <v>36707</v>
      </c>
      <c r="B107">
        <v>1.8</v>
      </c>
      <c r="C107">
        <v>1.4</v>
      </c>
      <c r="D107">
        <v>350</v>
      </c>
      <c r="E107">
        <v>402</v>
      </c>
      <c r="F107">
        <v>479.9</v>
      </c>
      <c r="G107">
        <v>616.04621309370987</v>
      </c>
    </row>
    <row r="108" spans="1:7" x14ac:dyDescent="0.2">
      <c r="A108" s="6">
        <v>36616</v>
      </c>
      <c r="B108">
        <v>0.4</v>
      </c>
      <c r="C108">
        <v>-1.2000000000000002</v>
      </c>
      <c r="D108">
        <v>-75</v>
      </c>
      <c r="E108">
        <v>-77.900000000000006</v>
      </c>
      <c r="F108">
        <v>-101.60000000000001</v>
      </c>
      <c r="G108">
        <v>-428.6919831223629</v>
      </c>
    </row>
    <row r="109" spans="1:7" x14ac:dyDescent="0.2">
      <c r="A109" s="6">
        <v>36525</v>
      </c>
      <c r="B109">
        <v>1.6</v>
      </c>
      <c r="C109">
        <v>0.30000000000000004</v>
      </c>
      <c r="D109">
        <v>23.07692307692308</v>
      </c>
      <c r="E109">
        <v>23.7</v>
      </c>
      <c r="F109">
        <v>-35.099999999999994</v>
      </c>
      <c r="G109">
        <v>-59.693877551020407</v>
      </c>
    </row>
    <row r="110" spans="1:7" x14ac:dyDescent="0.2">
      <c r="A110" s="6">
        <v>36433</v>
      </c>
      <c r="B110">
        <v>1.3</v>
      </c>
      <c r="C110">
        <v>0.5</v>
      </c>
      <c r="D110">
        <v>62.5</v>
      </c>
      <c r="E110">
        <v>58.8</v>
      </c>
      <c r="F110">
        <v>69.899999999999991</v>
      </c>
      <c r="G110">
        <v>629.72972972972968</v>
      </c>
    </row>
    <row r="111" spans="1:7" x14ac:dyDescent="0.2">
      <c r="A111" s="6">
        <v>36341</v>
      </c>
      <c r="B111">
        <v>0.8</v>
      </c>
      <c r="C111">
        <v>-9.9999999999999978E-2</v>
      </c>
      <c r="D111">
        <v>-11.111111111111109</v>
      </c>
      <c r="E111">
        <v>-11.1</v>
      </c>
      <c r="F111">
        <v>30.5</v>
      </c>
      <c r="G111">
        <v>73.317307692307693</v>
      </c>
    </row>
    <row r="112" spans="1:7" x14ac:dyDescent="0.2">
      <c r="A112" s="6">
        <v>36250</v>
      </c>
      <c r="B112">
        <v>0.9</v>
      </c>
      <c r="C112">
        <v>-0.70000000000000007</v>
      </c>
      <c r="D112">
        <v>-43.75</v>
      </c>
      <c r="E112">
        <v>-41.6</v>
      </c>
      <c r="F112">
        <v>-69.400000000000006</v>
      </c>
      <c r="G112">
        <v>-249.64028776978421</v>
      </c>
    </row>
    <row r="113" spans="1:7" x14ac:dyDescent="0.2">
      <c r="A113" s="6">
        <v>36160</v>
      </c>
      <c r="B113">
        <v>1.6</v>
      </c>
      <c r="C113">
        <v>0.30000000000000004</v>
      </c>
      <c r="D113">
        <v>23.07692307692308</v>
      </c>
      <c r="E113">
        <v>27.8</v>
      </c>
      <c r="F113">
        <v>-8.1999999999999993</v>
      </c>
      <c r="G113">
        <v>-22.777777777777775</v>
      </c>
    </row>
    <row r="114" spans="1:7" x14ac:dyDescent="0.2">
      <c r="A114" s="6">
        <v>36068</v>
      </c>
      <c r="B114">
        <v>1.3</v>
      </c>
      <c r="C114">
        <v>0.4</v>
      </c>
      <c r="D114">
        <v>44.444444444444443</v>
      </c>
      <c r="E114">
        <v>36</v>
      </c>
      <c r="F114">
        <v>43.8</v>
      </c>
      <c r="G114">
        <v>561.53846153846155</v>
      </c>
    </row>
    <row r="115" spans="1:7" x14ac:dyDescent="0.2">
      <c r="A115" s="6">
        <v>35976</v>
      </c>
      <c r="B115">
        <v>0.9</v>
      </c>
      <c r="C115">
        <v>-9.9999999999999978E-2</v>
      </c>
      <c r="D115">
        <v>-9.9999999999999982</v>
      </c>
      <c r="E115">
        <v>-7.8</v>
      </c>
      <c r="F115">
        <v>-25.400000000000002</v>
      </c>
      <c r="G115">
        <v>-144.31818181818181</v>
      </c>
    </row>
    <row r="116" spans="1:7" x14ac:dyDescent="0.2">
      <c r="A116" s="6">
        <v>35885</v>
      </c>
      <c r="B116">
        <v>1</v>
      </c>
      <c r="C116">
        <v>9.9999999999999978E-2</v>
      </c>
      <c r="D116">
        <v>11.111111111111109</v>
      </c>
      <c r="E116">
        <v>17.600000000000001</v>
      </c>
      <c r="F116">
        <v>49.2</v>
      </c>
      <c r="G116">
        <v>155.69620253164555</v>
      </c>
    </row>
    <row r="117" spans="1:7" x14ac:dyDescent="0.2">
      <c r="A117" s="6">
        <v>35795</v>
      </c>
      <c r="B117">
        <v>0.9</v>
      </c>
      <c r="C117">
        <v>-0.29999999999999993</v>
      </c>
      <c r="D117">
        <v>-24.999999999999996</v>
      </c>
      <c r="E117">
        <v>-31.6</v>
      </c>
      <c r="F117">
        <v>-6.6000000000000014</v>
      </c>
      <c r="G117">
        <v>-26.400000000000006</v>
      </c>
    </row>
    <row r="118" spans="1:7" x14ac:dyDescent="0.2">
      <c r="A118" s="6">
        <v>35703</v>
      </c>
      <c r="B118">
        <v>1.2</v>
      </c>
      <c r="C118">
        <v>-0.5</v>
      </c>
      <c r="D118">
        <v>-29.411764705882355</v>
      </c>
      <c r="E118">
        <v>-25</v>
      </c>
      <c r="F118">
        <v>-183</v>
      </c>
      <c r="G118">
        <v>-115.82278481012658</v>
      </c>
    </row>
    <row r="119" spans="1:7" x14ac:dyDescent="0.2">
      <c r="A119" s="6">
        <v>35611</v>
      </c>
      <c r="B119">
        <v>1.7</v>
      </c>
      <c r="C119">
        <v>1.1000000000000001</v>
      </c>
      <c r="D119">
        <v>183.33333333333337</v>
      </c>
      <c r="E119">
        <v>158</v>
      </c>
      <c r="F119">
        <v>195.8</v>
      </c>
      <c r="G119">
        <v>517.98941798941803</v>
      </c>
    </row>
    <row r="120" spans="1:7" x14ac:dyDescent="0.2">
      <c r="A120" s="6">
        <v>35520</v>
      </c>
      <c r="B120">
        <v>0.6</v>
      </c>
      <c r="C120">
        <v>-0.4</v>
      </c>
      <c r="D120">
        <v>-40</v>
      </c>
      <c r="E120">
        <v>-37.799999999999997</v>
      </c>
      <c r="F120">
        <v>-53.599999999999994</v>
      </c>
      <c r="G120">
        <v>-339.24050632911383</v>
      </c>
    </row>
    <row r="121" spans="1:7" x14ac:dyDescent="0.2">
      <c r="A121" s="6">
        <v>35430</v>
      </c>
      <c r="B121">
        <v>1</v>
      </c>
      <c r="C121">
        <v>9.9999999999999978E-2</v>
      </c>
      <c r="D121">
        <v>11.111111111111109</v>
      </c>
      <c r="E121">
        <v>15.8</v>
      </c>
      <c r="F121">
        <v>62</v>
      </c>
      <c r="G121">
        <v>134.19913419913419</v>
      </c>
    </row>
    <row r="122" spans="1:7" x14ac:dyDescent="0.2">
      <c r="A122" s="6">
        <v>35338</v>
      </c>
      <c r="B122">
        <v>0.9</v>
      </c>
      <c r="C122">
        <v>-0.79999999999999993</v>
      </c>
      <c r="D122">
        <v>-47.058823529411768</v>
      </c>
      <c r="E122">
        <v>-46.2</v>
      </c>
      <c r="F122">
        <v>-168.9</v>
      </c>
      <c r="G122">
        <v>-137.65281173594133</v>
      </c>
    </row>
    <row r="123" spans="1:7" x14ac:dyDescent="0.2">
      <c r="A123" s="6">
        <v>35246</v>
      </c>
      <c r="B123">
        <v>1.7</v>
      </c>
      <c r="C123">
        <v>1</v>
      </c>
      <c r="D123">
        <v>142.85714285714286</v>
      </c>
      <c r="E123">
        <v>122.7</v>
      </c>
      <c r="F123">
        <v>112.4</v>
      </c>
      <c r="G123">
        <v>1091.2621359223301</v>
      </c>
    </row>
    <row r="124" spans="1:7" x14ac:dyDescent="0.2">
      <c r="A124" s="6">
        <v>35155</v>
      </c>
      <c r="B124">
        <v>0.7</v>
      </c>
      <c r="C124">
        <v>0</v>
      </c>
      <c r="D124">
        <v>0</v>
      </c>
      <c r="E124">
        <v>10.3</v>
      </c>
      <c r="F124">
        <v>30.5</v>
      </c>
      <c r="G124">
        <v>150.990099009901</v>
      </c>
    </row>
    <row r="125" spans="1:7" x14ac:dyDescent="0.2">
      <c r="A125" s="6">
        <v>35064</v>
      </c>
      <c r="B125">
        <v>0.7</v>
      </c>
      <c r="E125">
        <v>-20.2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1AD2-11BD-4FB0-9223-37EA114F59AE}">
  <dimension ref="A1:H86"/>
  <sheetViews>
    <sheetView workbookViewId="0">
      <selection activeCell="Z33" sqref="Z33"/>
    </sheetView>
  </sheetViews>
  <sheetFormatPr baseColWidth="10" defaultColWidth="8.83203125" defaultRowHeight="15" outlineLevelCol="1" x14ac:dyDescent="0.2"/>
  <cols>
    <col min="1" max="1" width="11.6640625" customWidth="1"/>
    <col min="2" max="2" width="28" customWidth="1"/>
    <col min="3" max="7" width="9.1640625" hidden="1" customWidth="1" outlineLevel="1"/>
    <col min="8" max="8" width="9.1640625" collapsed="1"/>
  </cols>
  <sheetData>
    <row r="1" spans="1:8" x14ac:dyDescent="0.2">
      <c r="A1" t="s">
        <v>0</v>
      </c>
      <c r="B1" t="s">
        <v>42</v>
      </c>
    </row>
    <row r="2" spans="1:8" x14ac:dyDescent="0.2">
      <c r="A2" t="s">
        <v>2</v>
      </c>
      <c r="B2" s="5">
        <v>38716</v>
      </c>
    </row>
    <row r="3" spans="1:8" x14ac:dyDescent="0.2">
      <c r="A3" t="s">
        <v>3</v>
      </c>
      <c r="B3" s="5">
        <v>45930</v>
      </c>
    </row>
    <row r="4" spans="1:8" x14ac:dyDescent="0.2">
      <c r="A4" t="s">
        <v>4</v>
      </c>
      <c r="B4" t="s">
        <v>19</v>
      </c>
    </row>
    <row r="6" spans="1:8" x14ac:dyDescent="0.2">
      <c r="A6" t="s">
        <v>6</v>
      </c>
      <c r="B6" t="s">
        <v>43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45930</v>
      </c>
      <c r="B7">
        <v>5.77</v>
      </c>
      <c r="C7">
        <v>-0.39000000000000057</v>
      </c>
      <c r="D7">
        <v>-6.3311688311688403</v>
      </c>
      <c r="E7">
        <v>-6.33</v>
      </c>
      <c r="F7">
        <v>-6.82</v>
      </c>
      <c r="G7">
        <v>-1391.8367346938776</v>
      </c>
    </row>
    <row r="8" spans="1:8" x14ac:dyDescent="0.2">
      <c r="A8" s="6">
        <v>45838</v>
      </c>
      <c r="B8">
        <v>6.16</v>
      </c>
      <c r="C8">
        <v>3.0000000000000249E-2</v>
      </c>
      <c r="D8">
        <v>0.48939641109298937</v>
      </c>
      <c r="E8">
        <v>0.49</v>
      </c>
      <c r="F8">
        <v>4.41</v>
      </c>
      <c r="G8">
        <v>112.5</v>
      </c>
    </row>
    <row r="9" spans="1:8" x14ac:dyDescent="0.2">
      <c r="A9" s="6">
        <v>45747</v>
      </c>
      <c r="B9">
        <v>6.13</v>
      </c>
      <c r="C9">
        <v>-0.25</v>
      </c>
      <c r="D9">
        <v>-3.9184952978056429</v>
      </c>
      <c r="E9">
        <v>-3.92</v>
      </c>
      <c r="F9">
        <v>-9.9</v>
      </c>
      <c r="G9">
        <v>-165.55183946488293</v>
      </c>
    </row>
    <row r="10" spans="1:8" x14ac:dyDescent="0.2">
      <c r="A10" s="6">
        <v>45657</v>
      </c>
      <c r="B10">
        <v>6.38</v>
      </c>
      <c r="C10">
        <v>0.36000000000000032</v>
      </c>
      <c r="D10">
        <v>5.9800664451827297</v>
      </c>
      <c r="E10">
        <v>5.98</v>
      </c>
      <c r="F10">
        <v>15.59</v>
      </c>
      <c r="G10">
        <v>162.22684703433924</v>
      </c>
    </row>
    <row r="11" spans="1:8" x14ac:dyDescent="0.2">
      <c r="A11" s="6">
        <v>45565</v>
      </c>
      <c r="B11">
        <v>6.02</v>
      </c>
      <c r="C11">
        <v>-0.64000000000000057</v>
      </c>
      <c r="D11">
        <v>-9.6096096096096186</v>
      </c>
      <c r="E11">
        <v>-9.61</v>
      </c>
      <c r="F11">
        <v>-12.549999999999999</v>
      </c>
      <c r="G11">
        <v>-426.87074829931976</v>
      </c>
    </row>
    <row r="12" spans="1:8" x14ac:dyDescent="0.2">
      <c r="A12" s="6">
        <v>45471</v>
      </c>
      <c r="B12">
        <v>6.66</v>
      </c>
      <c r="C12">
        <v>0.19000000000000039</v>
      </c>
      <c r="D12">
        <v>2.9366306027820772</v>
      </c>
      <c r="E12">
        <v>2.94</v>
      </c>
      <c r="F12">
        <v>5.65</v>
      </c>
      <c r="G12">
        <v>208.48708487084872</v>
      </c>
    </row>
    <row r="13" spans="1:8" x14ac:dyDescent="0.2">
      <c r="A13" s="6">
        <v>45380</v>
      </c>
      <c r="B13">
        <v>6.47</v>
      </c>
      <c r="C13">
        <v>-0.1800000000000006</v>
      </c>
      <c r="D13">
        <v>-2.7067669172932418</v>
      </c>
      <c r="E13">
        <v>-2.71</v>
      </c>
      <c r="F13">
        <v>-0.5</v>
      </c>
      <c r="G13">
        <v>-22.624434389140273</v>
      </c>
    </row>
    <row r="14" spans="1:8" x14ac:dyDescent="0.2">
      <c r="A14" s="6">
        <v>45289</v>
      </c>
      <c r="B14">
        <v>6.65</v>
      </c>
      <c r="C14">
        <v>-0.14999999999999947</v>
      </c>
      <c r="D14">
        <v>-2.2058823529411686</v>
      </c>
      <c r="E14">
        <v>-2.21</v>
      </c>
      <c r="F14">
        <v>-11.71</v>
      </c>
      <c r="G14">
        <v>-123.26315789473684</v>
      </c>
    </row>
    <row r="15" spans="1:8" x14ac:dyDescent="0.2">
      <c r="A15" s="6">
        <v>45198</v>
      </c>
      <c r="B15">
        <v>6.8</v>
      </c>
      <c r="C15">
        <v>0.58999999999999986</v>
      </c>
      <c r="D15">
        <v>9.5008051529790638</v>
      </c>
      <c r="E15">
        <v>9.5</v>
      </c>
      <c r="F15">
        <v>-1.9999999999999574E-2</v>
      </c>
      <c r="G15">
        <v>-0.21008403361344091</v>
      </c>
    </row>
    <row r="16" spans="1:8" x14ac:dyDescent="0.2">
      <c r="A16" s="6">
        <v>45107</v>
      </c>
      <c r="B16">
        <v>6.21</v>
      </c>
      <c r="C16">
        <v>0.54</v>
      </c>
      <c r="D16">
        <v>9.5238095238095237</v>
      </c>
      <c r="E16">
        <v>9.52</v>
      </c>
      <c r="F16">
        <v>7.5399999999999991</v>
      </c>
      <c r="G16">
        <v>380.80808080808077</v>
      </c>
    </row>
    <row r="17" spans="1:7" x14ac:dyDescent="0.2">
      <c r="A17" s="6">
        <v>45016</v>
      </c>
      <c r="B17">
        <v>5.67</v>
      </c>
      <c r="C17">
        <v>0.11000000000000032</v>
      </c>
      <c r="D17">
        <v>1.9784172661870563</v>
      </c>
      <c r="E17">
        <v>1.98</v>
      </c>
      <c r="F17">
        <v>-6.4</v>
      </c>
      <c r="G17">
        <v>-76.372315035799517</v>
      </c>
    </row>
    <row r="18" spans="1:7" x14ac:dyDescent="0.2">
      <c r="A18" s="6">
        <v>44925</v>
      </c>
      <c r="B18">
        <v>5.56</v>
      </c>
      <c r="C18">
        <v>0.42999999999999972</v>
      </c>
      <c r="D18">
        <v>8.3820662768031138</v>
      </c>
      <c r="E18">
        <v>8.3800000000000008</v>
      </c>
      <c r="F18">
        <v>-4.8699999999999992</v>
      </c>
      <c r="G18">
        <v>-36.75471698113207</v>
      </c>
    </row>
    <row r="19" spans="1:7" x14ac:dyDescent="0.2">
      <c r="A19" s="6">
        <v>44834</v>
      </c>
      <c r="B19">
        <v>5.13</v>
      </c>
      <c r="C19">
        <v>0.59999999999999964</v>
      </c>
      <c r="D19">
        <v>13.245033112582773</v>
      </c>
      <c r="E19">
        <v>13.25</v>
      </c>
      <c r="F19">
        <v>-16.920000000000002</v>
      </c>
      <c r="G19">
        <v>-56.082200861783235</v>
      </c>
    </row>
    <row r="20" spans="1:7" x14ac:dyDescent="0.2">
      <c r="A20" s="6">
        <v>44742</v>
      </c>
      <c r="B20">
        <v>4.53</v>
      </c>
      <c r="C20">
        <v>1.0500000000000003</v>
      </c>
      <c r="D20">
        <v>30.172413793103456</v>
      </c>
      <c r="E20">
        <v>30.17</v>
      </c>
      <c r="F20">
        <v>-7.3799999999999955</v>
      </c>
      <c r="G20">
        <v>-19.653794940079884</v>
      </c>
    </row>
    <row r="21" spans="1:7" x14ac:dyDescent="0.2">
      <c r="A21" s="6">
        <v>44651</v>
      </c>
      <c r="B21">
        <v>3.48</v>
      </c>
      <c r="C21">
        <v>0.95000000000000018</v>
      </c>
      <c r="D21">
        <v>37.549407114624515</v>
      </c>
      <c r="E21">
        <v>37.549999999999997</v>
      </c>
      <c r="F21">
        <v>38.33</v>
      </c>
      <c r="G21">
        <v>4914.1025641025635</v>
      </c>
    </row>
    <row r="22" spans="1:7" x14ac:dyDescent="0.2">
      <c r="A22" s="6">
        <v>44561</v>
      </c>
      <c r="B22">
        <v>2.5299999999999998</v>
      </c>
      <c r="C22">
        <v>-2.0000000000000018E-2</v>
      </c>
      <c r="D22">
        <v>-0.78431372549019684</v>
      </c>
      <c r="E22">
        <v>-0.78</v>
      </c>
      <c r="F22">
        <v>2.99</v>
      </c>
      <c r="G22">
        <v>79.310344827586206</v>
      </c>
    </row>
    <row r="23" spans="1:7" x14ac:dyDescent="0.2">
      <c r="A23" s="6">
        <v>44469</v>
      </c>
      <c r="B23">
        <v>2.5499999999999998</v>
      </c>
      <c r="C23">
        <v>-0.10000000000000009</v>
      </c>
      <c r="D23">
        <v>-3.773584905660381</v>
      </c>
      <c r="E23">
        <v>-3.77</v>
      </c>
      <c r="F23">
        <v>5.48</v>
      </c>
      <c r="G23">
        <v>59.243243243243242</v>
      </c>
    </row>
    <row r="24" spans="1:7" x14ac:dyDescent="0.2">
      <c r="A24" s="6">
        <v>44377</v>
      </c>
      <c r="B24">
        <v>2.65</v>
      </c>
      <c r="C24">
        <v>-0.27</v>
      </c>
      <c r="D24">
        <v>-9.2465753424657535</v>
      </c>
      <c r="E24">
        <v>-9.25</v>
      </c>
      <c r="F24">
        <v>-10.99</v>
      </c>
      <c r="G24">
        <v>-631.60919540229884</v>
      </c>
    </row>
    <row r="25" spans="1:7" x14ac:dyDescent="0.2">
      <c r="A25" s="6">
        <v>44286</v>
      </c>
      <c r="B25">
        <v>2.92</v>
      </c>
      <c r="C25">
        <v>4.9999999999999822E-2</v>
      </c>
      <c r="D25">
        <v>1.7421602787456383</v>
      </c>
      <c r="E25">
        <v>1.74</v>
      </c>
      <c r="F25">
        <v>5.43</v>
      </c>
      <c r="G25">
        <v>147.15447154471545</v>
      </c>
    </row>
    <row r="26" spans="1:7" x14ac:dyDescent="0.2">
      <c r="A26" s="6">
        <v>44196</v>
      </c>
      <c r="B26">
        <v>2.87</v>
      </c>
      <c r="C26">
        <v>-0.10999999999999988</v>
      </c>
      <c r="D26">
        <v>-3.6912751677852307</v>
      </c>
      <c r="E26">
        <v>-3.69</v>
      </c>
      <c r="F26">
        <v>5.4600000000000009</v>
      </c>
      <c r="G26">
        <v>59.672131147540995</v>
      </c>
    </row>
    <row r="27" spans="1:7" x14ac:dyDescent="0.2">
      <c r="A27" s="6">
        <v>44104</v>
      </c>
      <c r="B27">
        <v>2.98</v>
      </c>
      <c r="C27">
        <v>-0.29999999999999982</v>
      </c>
      <c r="D27">
        <v>-9.1463414634146289</v>
      </c>
      <c r="E27">
        <v>-9.15</v>
      </c>
      <c r="F27">
        <v>-3.95</v>
      </c>
      <c r="G27">
        <v>-75.961538461538453</v>
      </c>
    </row>
    <row r="28" spans="1:7" x14ac:dyDescent="0.2">
      <c r="A28" s="6">
        <v>44012</v>
      </c>
      <c r="B28">
        <v>3.28</v>
      </c>
      <c r="C28">
        <v>-0.18000000000000016</v>
      </c>
      <c r="D28">
        <v>-5.2023121387283275</v>
      </c>
      <c r="E28">
        <v>-5.2</v>
      </c>
      <c r="F28">
        <v>-2.12</v>
      </c>
      <c r="G28">
        <v>-68.831168831168824</v>
      </c>
    </row>
    <row r="29" spans="1:7" x14ac:dyDescent="0.2">
      <c r="A29" s="6">
        <v>43921</v>
      </c>
      <c r="B29">
        <v>3.46</v>
      </c>
      <c r="C29">
        <v>-0.10999999999999988</v>
      </c>
      <c r="D29">
        <v>-3.0812324929971955</v>
      </c>
      <c r="E29">
        <v>-3.08</v>
      </c>
      <c r="F29">
        <v>-3.93</v>
      </c>
      <c r="G29">
        <v>-462.35294117647061</v>
      </c>
    </row>
    <row r="30" spans="1:7" x14ac:dyDescent="0.2">
      <c r="A30" s="6">
        <v>43830</v>
      </c>
      <c r="B30">
        <v>3.57</v>
      </c>
      <c r="C30">
        <v>2.9999999999999805E-2</v>
      </c>
      <c r="D30">
        <v>0.84745762711863859</v>
      </c>
      <c r="E30">
        <v>0.85</v>
      </c>
      <c r="F30">
        <v>3.6</v>
      </c>
      <c r="G30">
        <v>130.90909090909091</v>
      </c>
    </row>
    <row r="31" spans="1:7" x14ac:dyDescent="0.2">
      <c r="A31" s="6">
        <v>43738</v>
      </c>
      <c r="B31">
        <v>3.54</v>
      </c>
      <c r="C31">
        <v>-0.10000000000000009</v>
      </c>
      <c r="D31">
        <v>-2.7472527472527495</v>
      </c>
      <c r="E31">
        <v>-2.75</v>
      </c>
      <c r="F31">
        <v>5.33</v>
      </c>
      <c r="G31">
        <v>65.965346534653463</v>
      </c>
    </row>
    <row r="32" spans="1:7" x14ac:dyDescent="0.2">
      <c r="A32" s="6">
        <v>43644</v>
      </c>
      <c r="B32">
        <v>3.64</v>
      </c>
      <c r="C32">
        <v>-0.31999999999999984</v>
      </c>
      <c r="D32">
        <v>-8.0808080808080778</v>
      </c>
      <c r="E32">
        <v>-8.08</v>
      </c>
      <c r="F32">
        <v>-4.2</v>
      </c>
      <c r="G32">
        <v>-108.24742268041237</v>
      </c>
    </row>
    <row r="33" spans="1:7" x14ac:dyDescent="0.2">
      <c r="A33" s="6">
        <v>43553</v>
      </c>
      <c r="B33">
        <v>3.96</v>
      </c>
      <c r="C33">
        <v>-0.16000000000000014</v>
      </c>
      <c r="D33">
        <v>-3.8834951456310711</v>
      </c>
      <c r="E33">
        <v>-3.88</v>
      </c>
      <c r="F33">
        <v>-4.8599999999999994</v>
      </c>
      <c r="G33">
        <v>-495.91836734693874</v>
      </c>
    </row>
    <row r="34" spans="1:7" x14ac:dyDescent="0.2">
      <c r="A34" s="6">
        <v>43465</v>
      </c>
      <c r="B34">
        <v>4.12</v>
      </c>
      <c r="C34">
        <v>4.0000000000000036E-2</v>
      </c>
      <c r="D34">
        <v>0.98039215686274594</v>
      </c>
      <c r="E34">
        <v>0.98</v>
      </c>
      <c r="F34">
        <v>-2.31</v>
      </c>
      <c r="G34">
        <v>-70.212765957446805</v>
      </c>
    </row>
    <row r="35" spans="1:7" x14ac:dyDescent="0.2">
      <c r="A35" s="6">
        <v>43371</v>
      </c>
      <c r="B35">
        <v>4.08</v>
      </c>
      <c r="C35">
        <v>0.12999999999999989</v>
      </c>
      <c r="D35">
        <v>3.2911392405063262</v>
      </c>
      <c r="E35">
        <v>3.29</v>
      </c>
      <c r="F35">
        <v>0.43000000000000016</v>
      </c>
      <c r="G35">
        <v>15.03496503496504</v>
      </c>
    </row>
    <row r="36" spans="1:7" x14ac:dyDescent="0.2">
      <c r="A36" s="6">
        <v>43280</v>
      </c>
      <c r="B36">
        <v>3.95</v>
      </c>
      <c r="C36">
        <v>0.11000000000000032</v>
      </c>
      <c r="D36">
        <v>2.8645833333333419</v>
      </c>
      <c r="E36">
        <v>2.86</v>
      </c>
      <c r="F36">
        <v>-6.5400000000000009</v>
      </c>
      <c r="G36">
        <v>-69.574468085106389</v>
      </c>
    </row>
    <row r="37" spans="1:7" x14ac:dyDescent="0.2">
      <c r="A37" s="6">
        <v>43189</v>
      </c>
      <c r="B37">
        <v>3.84</v>
      </c>
      <c r="C37">
        <v>0.33000000000000007</v>
      </c>
      <c r="D37">
        <v>9.4017094017094038</v>
      </c>
      <c r="E37">
        <v>9.4</v>
      </c>
      <c r="F37">
        <v>3.99</v>
      </c>
      <c r="G37">
        <v>73.752310536044362</v>
      </c>
    </row>
    <row r="38" spans="1:7" x14ac:dyDescent="0.2">
      <c r="A38" s="6">
        <v>43098</v>
      </c>
      <c r="B38">
        <v>3.51</v>
      </c>
      <c r="C38">
        <v>0.17999999999999972</v>
      </c>
      <c r="D38">
        <v>5.4054054054053964</v>
      </c>
      <c r="E38">
        <v>5.41</v>
      </c>
      <c r="F38">
        <v>5.71</v>
      </c>
      <c r="G38">
        <v>1903.3333333333335</v>
      </c>
    </row>
    <row r="39" spans="1:7" x14ac:dyDescent="0.2">
      <c r="A39" s="6">
        <v>43007</v>
      </c>
      <c r="B39">
        <v>3.33</v>
      </c>
      <c r="C39">
        <v>-9.9999999999997868E-3</v>
      </c>
      <c r="D39">
        <v>-0.29940119760478406</v>
      </c>
      <c r="E39">
        <v>-0.3</v>
      </c>
      <c r="F39">
        <v>1.46</v>
      </c>
      <c r="G39">
        <v>82.954545454545453</v>
      </c>
    </row>
    <row r="40" spans="1:7" x14ac:dyDescent="0.2">
      <c r="A40" s="6">
        <v>42916</v>
      </c>
      <c r="B40">
        <v>3.34</v>
      </c>
      <c r="C40">
        <v>-6.0000000000000053E-2</v>
      </c>
      <c r="D40">
        <v>-1.7647058823529429</v>
      </c>
      <c r="E40">
        <v>-1.76</v>
      </c>
      <c r="F40">
        <v>0.53999999999999981</v>
      </c>
      <c r="G40">
        <v>23.478260869565212</v>
      </c>
    </row>
    <row r="41" spans="1:7" x14ac:dyDescent="0.2">
      <c r="A41" s="6">
        <v>42825</v>
      </c>
      <c r="B41">
        <v>3.4</v>
      </c>
      <c r="C41">
        <v>-8.0000000000000071E-2</v>
      </c>
      <c r="D41">
        <v>-2.2988505747126458</v>
      </c>
      <c r="E41">
        <v>-2.2999999999999998</v>
      </c>
      <c r="F41">
        <v>-18.3</v>
      </c>
      <c r="G41">
        <v>-114.375</v>
      </c>
    </row>
    <row r="42" spans="1:7" x14ac:dyDescent="0.2">
      <c r="A42" s="6">
        <v>42734</v>
      </c>
      <c r="B42">
        <v>3.48</v>
      </c>
      <c r="C42">
        <v>0.48</v>
      </c>
      <c r="D42">
        <v>16</v>
      </c>
      <c r="E42">
        <v>16</v>
      </c>
      <c r="F42">
        <v>13.96</v>
      </c>
      <c r="G42">
        <v>684.31372549019602</v>
      </c>
    </row>
    <row r="43" spans="1:7" x14ac:dyDescent="0.2">
      <c r="A43" s="6">
        <v>42643</v>
      </c>
      <c r="B43">
        <v>3</v>
      </c>
      <c r="C43">
        <v>6.0000000000000053E-2</v>
      </c>
      <c r="D43">
        <v>2.0408163265306141</v>
      </c>
      <c r="E43">
        <v>2.04</v>
      </c>
      <c r="F43">
        <v>6.89</v>
      </c>
      <c r="G43">
        <v>142.06185567010311</v>
      </c>
    </row>
    <row r="44" spans="1:7" x14ac:dyDescent="0.2">
      <c r="A44" s="6">
        <v>42551</v>
      </c>
      <c r="B44">
        <v>2.94</v>
      </c>
      <c r="C44">
        <v>-0.14999999999999991</v>
      </c>
      <c r="D44">
        <v>-4.8543689320388319</v>
      </c>
      <c r="E44">
        <v>-4.8499999999999996</v>
      </c>
      <c r="F44">
        <v>-0.80999999999999961</v>
      </c>
      <c r="G44">
        <v>-20.049504950495038</v>
      </c>
    </row>
    <row r="45" spans="1:7" x14ac:dyDescent="0.2">
      <c r="A45" s="6">
        <v>42460</v>
      </c>
      <c r="B45">
        <v>3.09</v>
      </c>
      <c r="C45">
        <v>-0.13000000000000034</v>
      </c>
      <c r="D45">
        <v>-4.0372670807453517</v>
      </c>
      <c r="E45">
        <v>-4.04</v>
      </c>
      <c r="F45">
        <v>-7.58</v>
      </c>
      <c r="G45">
        <v>-214.12429378531073</v>
      </c>
    </row>
    <row r="46" spans="1:7" x14ac:dyDescent="0.2">
      <c r="A46" s="6">
        <v>42369</v>
      </c>
      <c r="B46">
        <v>3.22</v>
      </c>
      <c r="C46">
        <v>0.11000000000000032</v>
      </c>
      <c r="D46">
        <v>3.5369774919614252</v>
      </c>
      <c r="E46">
        <v>3.54</v>
      </c>
      <c r="F46">
        <v>4.5</v>
      </c>
      <c r="G46">
        <v>468.75</v>
      </c>
    </row>
    <row r="47" spans="1:7" x14ac:dyDescent="0.2">
      <c r="A47" s="6">
        <v>42277</v>
      </c>
      <c r="B47">
        <v>3.11</v>
      </c>
      <c r="C47">
        <v>-3.0000000000000249E-2</v>
      </c>
      <c r="D47">
        <v>-0.9554140127388614</v>
      </c>
      <c r="E47">
        <v>-0.96</v>
      </c>
      <c r="F47">
        <v>-2.91</v>
      </c>
      <c r="G47">
        <v>-149.23076923076923</v>
      </c>
    </row>
    <row r="48" spans="1:7" x14ac:dyDescent="0.2">
      <c r="A48" s="6">
        <v>42185</v>
      </c>
      <c r="B48">
        <v>3.14</v>
      </c>
      <c r="C48">
        <v>6.0000000000000053E-2</v>
      </c>
      <c r="D48">
        <v>1.9480519480519498</v>
      </c>
      <c r="E48">
        <v>1.95</v>
      </c>
      <c r="F48">
        <v>6</v>
      </c>
      <c r="G48">
        <v>148.14814814814815</v>
      </c>
    </row>
    <row r="49" spans="1:7" x14ac:dyDescent="0.2">
      <c r="A49" s="6">
        <v>42094</v>
      </c>
      <c r="B49">
        <v>3.08</v>
      </c>
      <c r="C49">
        <v>-0.12999999999999989</v>
      </c>
      <c r="D49">
        <v>-4.0498442367601211</v>
      </c>
      <c r="E49">
        <v>-4.05</v>
      </c>
      <c r="F49">
        <v>-1.92</v>
      </c>
      <c r="G49">
        <v>-90.140845070422543</v>
      </c>
    </row>
    <row r="50" spans="1:7" x14ac:dyDescent="0.2">
      <c r="A50" s="6">
        <v>42004</v>
      </c>
      <c r="B50">
        <v>3.21</v>
      </c>
      <c r="C50">
        <v>-6.999999999999984E-2</v>
      </c>
      <c r="D50">
        <v>-2.1341463414634099</v>
      </c>
      <c r="E50">
        <v>-2.13</v>
      </c>
      <c r="F50">
        <v>-7.9399999999999995</v>
      </c>
      <c r="G50">
        <v>-136.66092943201377</v>
      </c>
    </row>
    <row r="51" spans="1:7" x14ac:dyDescent="0.2">
      <c r="A51" s="6">
        <v>41912</v>
      </c>
      <c r="B51">
        <v>3.28</v>
      </c>
      <c r="C51">
        <v>0.17999999999999972</v>
      </c>
      <c r="D51">
        <v>5.8064516129032162</v>
      </c>
      <c r="E51">
        <v>5.81</v>
      </c>
      <c r="F51">
        <v>11.87</v>
      </c>
      <c r="G51">
        <v>195.87458745874588</v>
      </c>
    </row>
    <row r="52" spans="1:7" x14ac:dyDescent="0.2">
      <c r="A52" s="6">
        <v>41820</v>
      </c>
      <c r="B52">
        <v>3.1</v>
      </c>
      <c r="C52">
        <v>-0.19999999999999973</v>
      </c>
      <c r="D52">
        <v>-6.0606060606060526</v>
      </c>
      <c r="E52">
        <v>-6.06</v>
      </c>
      <c r="F52">
        <v>-10.489999999999998</v>
      </c>
      <c r="G52">
        <v>-236.79458239277648</v>
      </c>
    </row>
    <row r="53" spans="1:7" x14ac:dyDescent="0.2">
      <c r="A53" s="6">
        <v>41729</v>
      </c>
      <c r="B53">
        <v>3.3</v>
      </c>
      <c r="C53">
        <v>0.13999999999999968</v>
      </c>
      <c r="D53">
        <v>4.4303797468354329</v>
      </c>
      <c r="E53">
        <v>4.43</v>
      </c>
      <c r="F53">
        <v>7.7899999999999991</v>
      </c>
      <c r="G53">
        <v>231.84523809523807</v>
      </c>
    </row>
    <row r="54" spans="1:7" x14ac:dyDescent="0.2">
      <c r="A54" s="6">
        <v>41639</v>
      </c>
      <c r="B54">
        <v>3.16</v>
      </c>
      <c r="C54">
        <v>-0.10999999999999988</v>
      </c>
      <c r="D54">
        <v>-3.3639143730886811</v>
      </c>
      <c r="E54">
        <v>-3.36</v>
      </c>
      <c r="F54">
        <v>-12.719999999999999</v>
      </c>
      <c r="G54">
        <v>-135.89743589743591</v>
      </c>
    </row>
    <row r="55" spans="1:7" x14ac:dyDescent="0.2">
      <c r="A55" s="6">
        <v>41547</v>
      </c>
      <c r="B55">
        <v>3.27</v>
      </c>
      <c r="C55">
        <v>0.2799999999999998</v>
      </c>
      <c r="D55">
        <v>9.3645484949832696</v>
      </c>
      <c r="E55">
        <v>9.36</v>
      </c>
      <c r="F55">
        <v>4.4499999999999993</v>
      </c>
      <c r="G55">
        <v>90.631364562118108</v>
      </c>
    </row>
    <row r="56" spans="1:7" x14ac:dyDescent="0.2">
      <c r="A56" s="6">
        <v>41453</v>
      </c>
      <c r="B56">
        <v>2.99</v>
      </c>
      <c r="C56">
        <v>0.14000000000000012</v>
      </c>
      <c r="D56">
        <v>4.9122807017543906</v>
      </c>
      <c r="E56">
        <v>4.91</v>
      </c>
      <c r="F56">
        <v>9.27</v>
      </c>
      <c r="G56">
        <v>212.61467889908255</v>
      </c>
    </row>
    <row r="57" spans="1:7" x14ac:dyDescent="0.2">
      <c r="A57" s="6">
        <v>41362</v>
      </c>
      <c r="B57">
        <v>2.85</v>
      </c>
      <c r="C57">
        <v>-0.12999999999999989</v>
      </c>
      <c r="D57">
        <v>-4.3624161073825469</v>
      </c>
      <c r="E57">
        <v>-4.3600000000000003</v>
      </c>
      <c r="F57">
        <v>-3.6900000000000004</v>
      </c>
      <c r="G57">
        <v>-550.74626865671644</v>
      </c>
    </row>
    <row r="58" spans="1:7" x14ac:dyDescent="0.2">
      <c r="A58" s="6">
        <v>41274</v>
      </c>
      <c r="B58">
        <v>2.98</v>
      </c>
      <c r="C58">
        <v>-2.0000000000000018E-2</v>
      </c>
      <c r="D58">
        <v>-0.6666666666666673</v>
      </c>
      <c r="E58">
        <v>-0.67</v>
      </c>
      <c r="F58">
        <v>-0.34</v>
      </c>
      <c r="G58">
        <v>-103.03030303030303</v>
      </c>
    </row>
    <row r="59" spans="1:7" x14ac:dyDescent="0.2">
      <c r="A59" s="6">
        <v>41180</v>
      </c>
      <c r="B59">
        <v>3</v>
      </c>
      <c r="C59">
        <v>-9.9999999999997868E-3</v>
      </c>
      <c r="D59">
        <v>-0.33222591362125542</v>
      </c>
      <c r="E59">
        <v>-0.33</v>
      </c>
      <c r="F59">
        <v>6.77</v>
      </c>
      <c r="G59">
        <v>95.352112676056336</v>
      </c>
    </row>
    <row r="60" spans="1:7" x14ac:dyDescent="0.2">
      <c r="A60" s="6">
        <v>41089</v>
      </c>
      <c r="B60">
        <v>3.01</v>
      </c>
      <c r="C60">
        <v>-0.23000000000000043</v>
      </c>
      <c r="D60">
        <v>-7.0987654320987783</v>
      </c>
      <c r="E60">
        <v>-7.1</v>
      </c>
      <c r="F60">
        <v>-11.95</v>
      </c>
      <c r="G60">
        <v>-246.39175257731961</v>
      </c>
    </row>
    <row r="61" spans="1:7" x14ac:dyDescent="0.2">
      <c r="A61" s="6">
        <v>40998</v>
      </c>
      <c r="B61">
        <v>3.24</v>
      </c>
      <c r="C61">
        <v>0.15000000000000036</v>
      </c>
      <c r="D61">
        <v>4.854368932038847</v>
      </c>
      <c r="E61">
        <v>4.8499999999999996</v>
      </c>
      <c r="F61">
        <v>10.059999999999999</v>
      </c>
      <c r="G61">
        <v>193.09021113243759</v>
      </c>
    </row>
    <row r="62" spans="1:7" x14ac:dyDescent="0.2">
      <c r="A62" s="6">
        <v>40907</v>
      </c>
      <c r="B62">
        <v>3.09</v>
      </c>
      <c r="C62">
        <v>-0.16999999999999993</v>
      </c>
      <c r="D62">
        <v>-5.2147239263803664</v>
      </c>
      <c r="E62">
        <v>-5.21</v>
      </c>
      <c r="F62">
        <v>1.38</v>
      </c>
      <c r="G62">
        <v>20.94081942336874</v>
      </c>
    </row>
    <row r="63" spans="1:7" x14ac:dyDescent="0.2">
      <c r="A63" s="6">
        <v>40816</v>
      </c>
      <c r="B63">
        <v>3.26</v>
      </c>
      <c r="C63">
        <v>-0.23000000000000043</v>
      </c>
      <c r="D63">
        <v>-6.5902578796561722</v>
      </c>
      <c r="E63">
        <v>-6.59</v>
      </c>
      <c r="F63">
        <v>3.2300000000000004</v>
      </c>
      <c r="G63">
        <v>32.892057026476586</v>
      </c>
    </row>
    <row r="64" spans="1:7" x14ac:dyDescent="0.2">
      <c r="A64" s="6">
        <v>40724</v>
      </c>
      <c r="B64">
        <v>3.49</v>
      </c>
      <c r="C64">
        <v>-0.37999999999999989</v>
      </c>
      <c r="D64">
        <v>-9.8191214470284205</v>
      </c>
      <c r="E64">
        <v>-9.82</v>
      </c>
      <c r="F64">
        <v>-6.57</v>
      </c>
      <c r="G64">
        <v>-202.15384615384616</v>
      </c>
    </row>
    <row r="65" spans="1:7" x14ac:dyDescent="0.2">
      <c r="A65" s="6">
        <v>40633</v>
      </c>
      <c r="B65">
        <v>3.87</v>
      </c>
      <c r="C65">
        <v>-0.12999999999999989</v>
      </c>
      <c r="D65">
        <v>-3.2499999999999973</v>
      </c>
      <c r="E65">
        <v>-3.25</v>
      </c>
      <c r="F65">
        <v>-9.07</v>
      </c>
      <c r="G65">
        <v>-155.84192439862542</v>
      </c>
    </row>
    <row r="66" spans="1:7" x14ac:dyDescent="0.2">
      <c r="A66" s="6">
        <v>40543</v>
      </c>
      <c r="B66">
        <v>4</v>
      </c>
      <c r="C66">
        <v>0.2200000000000002</v>
      </c>
      <c r="D66">
        <v>5.8201058201058258</v>
      </c>
      <c r="E66">
        <v>5.82</v>
      </c>
      <c r="F66">
        <v>14.290000000000001</v>
      </c>
      <c r="G66">
        <v>168.71310507674141</v>
      </c>
    </row>
    <row r="67" spans="1:7" x14ac:dyDescent="0.2">
      <c r="A67" s="6">
        <v>40451</v>
      </c>
      <c r="B67">
        <v>3.78</v>
      </c>
      <c r="C67">
        <v>-0.35000000000000009</v>
      </c>
      <c r="D67">
        <v>-8.474576271186443</v>
      </c>
      <c r="E67">
        <v>-8.4700000000000006</v>
      </c>
      <c r="F67">
        <v>-2.5500000000000007</v>
      </c>
      <c r="G67">
        <v>-43.074324324324337</v>
      </c>
    </row>
    <row r="68" spans="1:7" x14ac:dyDescent="0.2">
      <c r="A68" s="6">
        <v>40359</v>
      </c>
      <c r="B68">
        <v>4.13</v>
      </c>
      <c r="C68">
        <v>-0.25999999999999979</v>
      </c>
      <c r="D68">
        <v>-5.9225512528473763</v>
      </c>
      <c r="E68">
        <v>-5.92</v>
      </c>
      <c r="F68">
        <v>-0.33000000000000007</v>
      </c>
      <c r="G68">
        <v>-5.9033989266547424</v>
      </c>
    </row>
    <row r="69" spans="1:7" x14ac:dyDescent="0.2">
      <c r="A69" s="6">
        <v>40268</v>
      </c>
      <c r="B69">
        <v>4.3899999999999997</v>
      </c>
      <c r="C69">
        <v>-0.26000000000000068</v>
      </c>
      <c r="D69">
        <v>-5.5913978494623793</v>
      </c>
      <c r="E69">
        <v>-5.59</v>
      </c>
      <c r="F69">
        <v>-4.1099999999999994</v>
      </c>
      <c r="G69">
        <v>-277.70270270270265</v>
      </c>
    </row>
    <row r="70" spans="1:7" x14ac:dyDescent="0.2">
      <c r="A70" s="6">
        <v>40178</v>
      </c>
      <c r="B70">
        <v>4.6500000000000004</v>
      </c>
      <c r="C70">
        <v>-6.9999999999999396E-2</v>
      </c>
      <c r="D70">
        <v>-1.4830508474576145</v>
      </c>
      <c r="E70">
        <v>-1.48</v>
      </c>
      <c r="F70">
        <v>9.129999999999999</v>
      </c>
      <c r="G70">
        <v>86.05089538171535</v>
      </c>
    </row>
    <row r="71" spans="1:7" x14ac:dyDescent="0.2">
      <c r="A71" s="6">
        <v>40086</v>
      </c>
      <c r="B71">
        <v>4.72</v>
      </c>
      <c r="C71">
        <v>-0.5600000000000005</v>
      </c>
      <c r="D71">
        <v>-10.606060606060614</v>
      </c>
      <c r="E71">
        <v>-10.61</v>
      </c>
      <c r="F71">
        <v>-11.18</v>
      </c>
      <c r="G71">
        <v>-1961.4035087719301</v>
      </c>
    </row>
    <row r="72" spans="1:7" x14ac:dyDescent="0.2">
      <c r="A72" s="6">
        <v>39994</v>
      </c>
      <c r="B72">
        <v>5.28</v>
      </c>
      <c r="C72">
        <v>3.0000000000000249E-2</v>
      </c>
      <c r="D72">
        <v>0.57142857142857617</v>
      </c>
      <c r="E72">
        <v>0.56999999999999995</v>
      </c>
      <c r="F72">
        <v>9.11</v>
      </c>
      <c r="G72">
        <v>106.6744730679157</v>
      </c>
    </row>
    <row r="73" spans="1:7" x14ac:dyDescent="0.2">
      <c r="A73" s="6">
        <v>39903</v>
      </c>
      <c r="B73">
        <v>5.25</v>
      </c>
      <c r="C73">
        <v>-0.49000000000000021</v>
      </c>
      <c r="D73">
        <v>-8.5365853658536626</v>
      </c>
      <c r="E73">
        <v>-8.5399999999999991</v>
      </c>
      <c r="F73">
        <v>-8.9999999999999858E-2</v>
      </c>
      <c r="G73">
        <v>-1.065088757396448</v>
      </c>
    </row>
    <row r="74" spans="1:7" x14ac:dyDescent="0.2">
      <c r="A74" s="6">
        <v>39813</v>
      </c>
      <c r="B74">
        <v>5.74</v>
      </c>
      <c r="C74">
        <v>-0.52999999999999936</v>
      </c>
      <c r="D74">
        <v>-8.4529505582137059</v>
      </c>
      <c r="E74">
        <v>-8.4499999999999993</v>
      </c>
      <c r="F74">
        <v>-8.2899999999999991</v>
      </c>
      <c r="G74">
        <v>-5181.2499999999991</v>
      </c>
    </row>
    <row r="75" spans="1:7" x14ac:dyDescent="0.2">
      <c r="A75" s="6">
        <v>39721</v>
      </c>
      <c r="B75">
        <v>6.27</v>
      </c>
      <c r="C75">
        <v>-1.0000000000000675E-2</v>
      </c>
      <c r="D75">
        <v>-0.15923566878981965</v>
      </c>
      <c r="E75">
        <v>-0.16</v>
      </c>
      <c r="F75">
        <v>-6.24</v>
      </c>
      <c r="G75">
        <v>-102.63157894736842</v>
      </c>
    </row>
    <row r="76" spans="1:7" x14ac:dyDescent="0.2">
      <c r="A76" s="6">
        <v>39629</v>
      </c>
      <c r="B76">
        <v>6.28</v>
      </c>
      <c r="C76">
        <v>0.36000000000000032</v>
      </c>
      <c r="D76">
        <v>6.081081081081086</v>
      </c>
      <c r="E76">
        <v>6.08</v>
      </c>
      <c r="F76">
        <v>9.19</v>
      </c>
      <c r="G76">
        <v>295.49839228295821</v>
      </c>
    </row>
    <row r="77" spans="1:7" x14ac:dyDescent="0.2">
      <c r="A77" s="6">
        <v>39538</v>
      </c>
      <c r="B77">
        <v>5.92</v>
      </c>
      <c r="C77">
        <v>-0.19000000000000039</v>
      </c>
      <c r="D77">
        <v>-3.109656301145669</v>
      </c>
      <c r="E77">
        <v>-3.11</v>
      </c>
      <c r="F77">
        <v>1.7200000000000002</v>
      </c>
      <c r="G77">
        <v>35.610766045548658</v>
      </c>
    </row>
    <row r="78" spans="1:7" x14ac:dyDescent="0.2">
      <c r="A78" s="6">
        <v>39447</v>
      </c>
      <c r="B78">
        <v>6.11</v>
      </c>
      <c r="C78">
        <v>-0.30999999999999961</v>
      </c>
      <c r="D78">
        <v>-4.8286604361370653</v>
      </c>
      <c r="E78">
        <v>-4.83</v>
      </c>
      <c r="F78">
        <v>-2.7</v>
      </c>
      <c r="G78">
        <v>-126.7605633802817</v>
      </c>
    </row>
    <row r="79" spans="1:7" x14ac:dyDescent="0.2">
      <c r="A79" s="6">
        <v>39353</v>
      </c>
      <c r="B79">
        <v>6.42</v>
      </c>
      <c r="C79">
        <v>-0.13999999999999968</v>
      </c>
      <c r="D79">
        <v>-2.1341463414634099</v>
      </c>
      <c r="E79">
        <v>-2.13</v>
      </c>
      <c r="F79">
        <v>-8.620000000000001</v>
      </c>
      <c r="G79">
        <v>-132.81972265023114</v>
      </c>
    </row>
    <row r="80" spans="1:7" x14ac:dyDescent="0.2">
      <c r="A80" s="6">
        <v>39262</v>
      </c>
      <c r="B80">
        <v>6.56</v>
      </c>
      <c r="C80">
        <v>0.39999999999999947</v>
      </c>
      <c r="D80">
        <v>6.4935064935064846</v>
      </c>
      <c r="E80">
        <v>6.49</v>
      </c>
      <c r="F80">
        <v>6.65</v>
      </c>
      <c r="G80">
        <v>4156.25</v>
      </c>
    </row>
    <row r="81" spans="1:7" x14ac:dyDescent="0.2">
      <c r="A81" s="6">
        <v>39171</v>
      </c>
      <c r="B81">
        <v>6.16</v>
      </c>
      <c r="C81">
        <v>-9.9999999999997868E-3</v>
      </c>
      <c r="D81">
        <v>-0.16207455429497222</v>
      </c>
      <c r="E81">
        <v>-0.16</v>
      </c>
      <c r="F81">
        <v>1.75</v>
      </c>
      <c r="G81">
        <v>91.623036649214669</v>
      </c>
    </row>
    <row r="82" spans="1:7" x14ac:dyDescent="0.2">
      <c r="A82" s="6">
        <v>39080</v>
      </c>
      <c r="B82">
        <v>6.17</v>
      </c>
      <c r="C82">
        <v>-0.12000000000000011</v>
      </c>
      <c r="D82">
        <v>-1.9077901430842623</v>
      </c>
      <c r="E82">
        <v>-1.91</v>
      </c>
      <c r="F82">
        <v>2.3499999999999996</v>
      </c>
      <c r="G82">
        <v>55.164319248826288</v>
      </c>
    </row>
    <row r="83" spans="1:7" x14ac:dyDescent="0.2">
      <c r="A83" s="6">
        <v>38989</v>
      </c>
      <c r="B83">
        <v>6.29</v>
      </c>
      <c r="C83">
        <v>-0.28000000000000025</v>
      </c>
      <c r="D83">
        <v>-4.2617960426179637</v>
      </c>
      <c r="E83">
        <v>-4.26</v>
      </c>
      <c r="F83">
        <v>-9.379999999999999</v>
      </c>
      <c r="G83">
        <v>-183.20312499999997</v>
      </c>
    </row>
    <row r="84" spans="1:7" x14ac:dyDescent="0.2">
      <c r="A84" s="6">
        <v>38898</v>
      </c>
      <c r="B84">
        <v>6.57</v>
      </c>
      <c r="C84">
        <v>0.32000000000000028</v>
      </c>
      <c r="D84">
        <v>5.1200000000000045</v>
      </c>
      <c r="E84">
        <v>5.12</v>
      </c>
      <c r="F84">
        <v>2.83</v>
      </c>
      <c r="G84">
        <v>123.58078602620087</v>
      </c>
    </row>
    <row r="85" spans="1:7" x14ac:dyDescent="0.2">
      <c r="A85" s="6">
        <v>38807</v>
      </c>
      <c r="B85">
        <v>6.25</v>
      </c>
      <c r="C85">
        <v>0.13999999999999968</v>
      </c>
      <c r="D85">
        <v>2.2913256955810093</v>
      </c>
      <c r="E85">
        <v>2.29</v>
      </c>
      <c r="F85">
        <v>-6.04</v>
      </c>
      <c r="G85">
        <v>-72.509003601440583</v>
      </c>
    </row>
    <row r="86" spans="1:7" x14ac:dyDescent="0.2">
      <c r="A86" s="6">
        <v>38716</v>
      </c>
      <c r="B86">
        <v>6.11</v>
      </c>
      <c r="E86">
        <v>8.33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1A77-C96B-4835-B762-CD77224C12EF}">
  <dimension ref="A1:H86"/>
  <sheetViews>
    <sheetView workbookViewId="0">
      <selection activeCell="P46" sqref="P46"/>
    </sheetView>
  </sheetViews>
  <sheetFormatPr baseColWidth="10" defaultColWidth="8.83203125" defaultRowHeight="15" outlineLevelCol="1" x14ac:dyDescent="0.2"/>
  <cols>
    <col min="1" max="1" width="12.6640625" customWidth="1"/>
    <col min="2" max="2" width="29.6640625" customWidth="1"/>
    <col min="3" max="7" width="9.1640625" hidden="1" customWidth="1" outlineLevel="1"/>
    <col min="8" max="8" width="20.33203125" customWidth="1" collapsed="1"/>
  </cols>
  <sheetData>
    <row r="1" spans="1:8" x14ac:dyDescent="0.2">
      <c r="A1" t="s">
        <v>0</v>
      </c>
      <c r="B1" t="s">
        <v>44</v>
      </c>
    </row>
    <row r="2" spans="1:8" x14ac:dyDescent="0.2">
      <c r="A2" t="s">
        <v>2</v>
      </c>
      <c r="B2" s="5">
        <v>38716</v>
      </c>
    </row>
    <row r="3" spans="1:8" x14ac:dyDescent="0.2">
      <c r="A3" t="s">
        <v>3</v>
      </c>
      <c r="B3" s="5">
        <v>45930</v>
      </c>
    </row>
    <row r="4" spans="1:8" x14ac:dyDescent="0.2">
      <c r="A4" t="s">
        <v>4</v>
      </c>
      <c r="B4" t="s">
        <v>19</v>
      </c>
    </row>
    <row r="6" spans="1:8" x14ac:dyDescent="0.2">
      <c r="A6" t="s">
        <v>6</v>
      </c>
      <c r="B6" t="s">
        <v>45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45930</v>
      </c>
      <c r="B7">
        <v>6.31</v>
      </c>
      <c r="C7">
        <v>-0.45999999999999996</v>
      </c>
      <c r="D7">
        <v>-6.7946824224519942</v>
      </c>
      <c r="E7">
        <v>-6.79</v>
      </c>
      <c r="F7">
        <v>-8.59</v>
      </c>
      <c r="G7">
        <v>-477.22222222222223</v>
      </c>
    </row>
    <row r="8" spans="1:8" x14ac:dyDescent="0.2">
      <c r="A8" s="6">
        <v>45838</v>
      </c>
      <c r="B8">
        <v>6.77</v>
      </c>
      <c r="C8">
        <v>0.11999999999999922</v>
      </c>
      <c r="D8">
        <v>1.8045112781954769</v>
      </c>
      <c r="E8">
        <v>1.8</v>
      </c>
      <c r="F8">
        <v>5.42</v>
      </c>
      <c r="G8">
        <v>149.72375690607734</v>
      </c>
    </row>
    <row r="9" spans="1:8" x14ac:dyDescent="0.2">
      <c r="A9" s="6">
        <v>45747</v>
      </c>
      <c r="B9">
        <v>6.65</v>
      </c>
      <c r="C9">
        <v>-0.25</v>
      </c>
      <c r="D9">
        <v>-3.6231884057971011</v>
      </c>
      <c r="E9">
        <v>-3.62</v>
      </c>
      <c r="F9">
        <v>-16.73</v>
      </c>
      <c r="G9">
        <v>-127.61250953470633</v>
      </c>
    </row>
    <row r="10" spans="1:8" x14ac:dyDescent="0.2">
      <c r="A10" s="6">
        <v>45657</v>
      </c>
      <c r="B10">
        <v>6.9</v>
      </c>
      <c r="C10">
        <v>0.80000000000000071</v>
      </c>
      <c r="D10">
        <v>13.114754098360669</v>
      </c>
      <c r="E10">
        <v>13.11</v>
      </c>
      <c r="F10">
        <v>24.189999999999998</v>
      </c>
      <c r="G10">
        <v>218.32129963898916</v>
      </c>
    </row>
    <row r="11" spans="1:8" x14ac:dyDescent="0.2">
      <c r="A11" s="6">
        <v>45565</v>
      </c>
      <c r="B11">
        <v>6.1</v>
      </c>
      <c r="C11">
        <v>-0.76000000000000068</v>
      </c>
      <c r="D11">
        <v>-11.078717201166191</v>
      </c>
      <c r="E11">
        <v>-11.08</v>
      </c>
      <c r="F11">
        <v>-10.790000000000001</v>
      </c>
      <c r="G11">
        <v>-3720.6896551724139</v>
      </c>
    </row>
    <row r="12" spans="1:8" x14ac:dyDescent="0.2">
      <c r="A12" s="6">
        <v>45471</v>
      </c>
      <c r="B12">
        <v>6.86</v>
      </c>
      <c r="C12">
        <v>-1.9999999999999574E-2</v>
      </c>
      <c r="D12">
        <v>-0.29069767441859845</v>
      </c>
      <c r="E12">
        <v>-0.28999999999999998</v>
      </c>
      <c r="F12">
        <v>-3.44</v>
      </c>
      <c r="G12">
        <v>-109.20634920634922</v>
      </c>
    </row>
    <row r="13" spans="1:8" x14ac:dyDescent="0.2">
      <c r="A13" s="6">
        <v>45380</v>
      </c>
      <c r="B13">
        <v>6.88</v>
      </c>
      <c r="C13">
        <v>0.20999999999999996</v>
      </c>
      <c r="D13">
        <v>3.1484257871064463</v>
      </c>
      <c r="E13">
        <v>3.15</v>
      </c>
      <c r="F13">
        <v>10.64</v>
      </c>
      <c r="G13">
        <v>142.05607476635512</v>
      </c>
    </row>
    <row r="14" spans="1:8" x14ac:dyDescent="0.2">
      <c r="A14" s="6">
        <v>45289</v>
      </c>
      <c r="B14">
        <v>6.67</v>
      </c>
      <c r="C14">
        <v>-0.54</v>
      </c>
      <c r="D14">
        <v>-7.489597780859917</v>
      </c>
      <c r="E14">
        <v>-7.49</v>
      </c>
      <c r="F14">
        <v>-16.240000000000002</v>
      </c>
      <c r="G14">
        <v>-185.60000000000002</v>
      </c>
    </row>
    <row r="15" spans="1:8" x14ac:dyDescent="0.2">
      <c r="A15" s="6">
        <v>45198</v>
      </c>
      <c r="B15">
        <v>7.21</v>
      </c>
      <c r="C15">
        <v>0.58000000000000007</v>
      </c>
      <c r="D15">
        <v>8.7481146304675725</v>
      </c>
      <c r="E15">
        <v>8.75</v>
      </c>
      <c r="F15">
        <v>6.4399999999999995</v>
      </c>
      <c r="G15">
        <v>278.78787878787875</v>
      </c>
    </row>
    <row r="16" spans="1:8" x14ac:dyDescent="0.2">
      <c r="A16" s="6">
        <v>45107</v>
      </c>
      <c r="B16">
        <v>6.63</v>
      </c>
      <c r="C16">
        <v>0.14999999999999947</v>
      </c>
      <c r="D16">
        <v>2.3148148148148064</v>
      </c>
      <c r="E16">
        <v>2.31</v>
      </c>
      <c r="F16">
        <v>-0.87000000000000011</v>
      </c>
      <c r="G16">
        <v>-27.358490566037737</v>
      </c>
    </row>
    <row r="17" spans="1:7" x14ac:dyDescent="0.2">
      <c r="A17" s="6">
        <v>45016</v>
      </c>
      <c r="B17">
        <v>6.48</v>
      </c>
      <c r="C17">
        <v>0.20000000000000018</v>
      </c>
      <c r="D17">
        <v>3.1847133757961812</v>
      </c>
      <c r="E17">
        <v>3.18</v>
      </c>
      <c r="F17">
        <v>4.75</v>
      </c>
      <c r="G17">
        <v>302.54777070063693</v>
      </c>
    </row>
    <row r="18" spans="1:7" x14ac:dyDescent="0.2">
      <c r="A18" s="6">
        <v>44925</v>
      </c>
      <c r="B18">
        <v>6.28</v>
      </c>
      <c r="C18">
        <v>-9.9999999999999645E-2</v>
      </c>
      <c r="D18">
        <v>-1.5673981191222515</v>
      </c>
      <c r="E18">
        <v>-1.57</v>
      </c>
      <c r="F18">
        <v>-10.07</v>
      </c>
      <c r="G18">
        <v>-118.47058823529412</v>
      </c>
    </row>
    <row r="19" spans="1:7" x14ac:dyDescent="0.2">
      <c r="A19" s="6">
        <v>44834</v>
      </c>
      <c r="B19">
        <v>6.38</v>
      </c>
      <c r="C19">
        <v>0.5</v>
      </c>
      <c r="D19">
        <v>8.5034013605442187</v>
      </c>
      <c r="E19">
        <v>8.5</v>
      </c>
      <c r="F19">
        <v>-22.46</v>
      </c>
      <c r="G19">
        <v>-72.545219638242898</v>
      </c>
    </row>
    <row r="20" spans="1:7" x14ac:dyDescent="0.2">
      <c r="A20" s="6">
        <v>44742</v>
      </c>
      <c r="B20">
        <v>5.88</v>
      </c>
      <c r="C20">
        <v>1.3899999999999997</v>
      </c>
      <c r="D20">
        <v>30.957683741648101</v>
      </c>
      <c r="E20">
        <v>30.96</v>
      </c>
      <c r="F20">
        <v>-13.880000000000003</v>
      </c>
      <c r="G20">
        <v>-30.954504906333632</v>
      </c>
    </row>
    <row r="21" spans="1:7" x14ac:dyDescent="0.2">
      <c r="A21" s="6">
        <v>44651</v>
      </c>
      <c r="B21">
        <v>4.49</v>
      </c>
      <c r="C21">
        <v>1.3900000000000001</v>
      </c>
      <c r="D21">
        <v>44.838709677419352</v>
      </c>
      <c r="E21">
        <v>44.84</v>
      </c>
      <c r="F21">
        <v>39.040000000000006</v>
      </c>
      <c r="G21">
        <v>673.10344827586221</v>
      </c>
    </row>
    <row r="22" spans="1:7" x14ac:dyDescent="0.2">
      <c r="A22" s="6">
        <v>44561</v>
      </c>
      <c r="B22">
        <v>3.1</v>
      </c>
      <c r="C22">
        <v>0.16999999999999993</v>
      </c>
      <c r="D22">
        <v>5.8020477815699634</v>
      </c>
      <c r="E22">
        <v>5.8</v>
      </c>
      <c r="F22">
        <v>10.36</v>
      </c>
      <c r="G22">
        <v>227.19298245614036</v>
      </c>
    </row>
    <row r="23" spans="1:7" x14ac:dyDescent="0.2">
      <c r="A23" s="6">
        <v>44469</v>
      </c>
      <c r="B23">
        <v>2.93</v>
      </c>
      <c r="C23">
        <v>-0.13999999999999968</v>
      </c>
      <c r="D23">
        <v>-4.5602605863192078</v>
      </c>
      <c r="E23">
        <v>-4.5599999999999996</v>
      </c>
      <c r="F23">
        <v>0.39000000000000057</v>
      </c>
      <c r="G23">
        <v>7.8787878787878896</v>
      </c>
    </row>
    <row r="24" spans="1:7" x14ac:dyDescent="0.2">
      <c r="A24" s="6">
        <v>44377</v>
      </c>
      <c r="B24">
        <v>3.07</v>
      </c>
      <c r="C24">
        <v>-0.16000000000000014</v>
      </c>
      <c r="D24">
        <v>-4.9535603715170327</v>
      </c>
      <c r="E24">
        <v>-4.95</v>
      </c>
      <c r="F24">
        <v>-24.14</v>
      </c>
      <c r="G24">
        <v>-125.79468473163105</v>
      </c>
    </row>
    <row r="25" spans="1:7" x14ac:dyDescent="0.2">
      <c r="A25" s="6">
        <v>44286</v>
      </c>
      <c r="B25">
        <v>3.23</v>
      </c>
      <c r="C25">
        <v>0.52</v>
      </c>
      <c r="D25">
        <v>19.188191881918819</v>
      </c>
      <c r="E25">
        <v>19.190000000000001</v>
      </c>
      <c r="F25">
        <v>27.64</v>
      </c>
      <c r="G25">
        <v>327.10059171597635</v>
      </c>
    </row>
    <row r="26" spans="1:7" x14ac:dyDescent="0.2">
      <c r="A26" s="6">
        <v>44196</v>
      </c>
      <c r="B26">
        <v>2.71</v>
      </c>
      <c r="C26">
        <v>-0.25</v>
      </c>
      <c r="D26">
        <v>-8.4459459459459456</v>
      </c>
      <c r="E26">
        <v>-8.4499999999999993</v>
      </c>
      <c r="F26">
        <v>-1.2399999999999993</v>
      </c>
      <c r="G26">
        <v>-17.198335644937575</v>
      </c>
    </row>
    <row r="27" spans="1:7" x14ac:dyDescent="0.2">
      <c r="A27" s="6">
        <v>44104</v>
      </c>
      <c r="B27">
        <v>2.96</v>
      </c>
      <c r="C27">
        <v>-0.22999999999999998</v>
      </c>
      <c r="D27">
        <v>-7.2100313479623823</v>
      </c>
      <c r="E27">
        <v>-7.21</v>
      </c>
      <c r="F27">
        <v>3.1800000000000006</v>
      </c>
      <c r="G27">
        <v>30.606352261790185</v>
      </c>
    </row>
    <row r="28" spans="1:7" x14ac:dyDescent="0.2">
      <c r="A28" s="6">
        <v>44012</v>
      </c>
      <c r="B28">
        <v>3.19</v>
      </c>
      <c r="C28">
        <v>-0.37000000000000011</v>
      </c>
      <c r="D28">
        <v>-10.393258426966296</v>
      </c>
      <c r="E28">
        <v>-10.39</v>
      </c>
      <c r="F28">
        <v>-4.07</v>
      </c>
      <c r="G28">
        <v>-64.398734177215189</v>
      </c>
    </row>
    <row r="29" spans="1:7" x14ac:dyDescent="0.2">
      <c r="A29" s="6">
        <v>43921</v>
      </c>
      <c r="B29">
        <v>3.56</v>
      </c>
      <c r="C29">
        <v>-0.23999999999999977</v>
      </c>
      <c r="D29">
        <v>-6.3157894736842053</v>
      </c>
      <c r="E29">
        <v>-6.32</v>
      </c>
      <c r="F29">
        <v>-9.3000000000000007</v>
      </c>
      <c r="G29">
        <v>-312.08053691275171</v>
      </c>
    </row>
    <row r="30" spans="1:7" x14ac:dyDescent="0.2">
      <c r="A30" s="6">
        <v>43830</v>
      </c>
      <c r="B30">
        <v>3.8</v>
      </c>
      <c r="C30">
        <v>0.10999999999999988</v>
      </c>
      <c r="D30">
        <v>2.9810298102980997</v>
      </c>
      <c r="E30">
        <v>2.98</v>
      </c>
      <c r="F30">
        <v>7.8800000000000008</v>
      </c>
      <c r="G30">
        <v>160.81632653061226</v>
      </c>
    </row>
    <row r="31" spans="1:7" x14ac:dyDescent="0.2">
      <c r="A31" s="6">
        <v>43738</v>
      </c>
      <c r="B31">
        <v>3.69</v>
      </c>
      <c r="C31">
        <v>-0.18999999999999995</v>
      </c>
      <c r="D31">
        <v>-4.896907216494844</v>
      </c>
      <c r="E31">
        <v>-4.9000000000000004</v>
      </c>
      <c r="F31">
        <v>5.08</v>
      </c>
      <c r="G31">
        <v>50.901803607214426</v>
      </c>
    </row>
    <row r="32" spans="1:7" x14ac:dyDescent="0.2">
      <c r="A32" s="6">
        <v>43644</v>
      </c>
      <c r="B32">
        <v>3.88</v>
      </c>
      <c r="C32">
        <v>-0.42999999999999972</v>
      </c>
      <c r="D32">
        <v>-9.9767981438515019</v>
      </c>
      <c r="E32">
        <v>-9.98</v>
      </c>
      <c r="F32">
        <v>-3.8800000000000008</v>
      </c>
      <c r="G32">
        <v>-63.606557377049192</v>
      </c>
    </row>
    <row r="33" spans="1:7" x14ac:dyDescent="0.2">
      <c r="A33" s="6">
        <v>43553</v>
      </c>
      <c r="B33">
        <v>4.3099999999999996</v>
      </c>
      <c r="C33">
        <v>-0.28000000000000025</v>
      </c>
      <c r="D33">
        <v>-6.1002178649237528</v>
      </c>
      <c r="E33">
        <v>-6.1</v>
      </c>
      <c r="F33">
        <v>-3.9699999999999998</v>
      </c>
      <c r="G33">
        <v>-186.3849765258216</v>
      </c>
    </row>
    <row r="34" spans="1:7" x14ac:dyDescent="0.2">
      <c r="A34" s="6">
        <v>43465</v>
      </c>
      <c r="B34">
        <v>4.59</v>
      </c>
      <c r="C34">
        <v>-0.10000000000000053</v>
      </c>
      <c r="D34">
        <v>-2.1321961620469194</v>
      </c>
      <c r="E34">
        <v>-2.13</v>
      </c>
      <c r="F34">
        <v>-3.87</v>
      </c>
      <c r="G34">
        <v>-222.41379310344828</v>
      </c>
    </row>
    <row r="35" spans="1:7" x14ac:dyDescent="0.2">
      <c r="A35" s="6">
        <v>43371</v>
      </c>
      <c r="B35">
        <v>4.6900000000000004</v>
      </c>
      <c r="C35">
        <v>8.0000000000000071E-2</v>
      </c>
      <c r="D35">
        <v>1.7353579175705003</v>
      </c>
      <c r="E35">
        <v>1.74</v>
      </c>
      <c r="F35">
        <v>-0.92999999999999994</v>
      </c>
      <c r="G35">
        <v>-34.831460674157306</v>
      </c>
    </row>
    <row r="36" spans="1:7" x14ac:dyDescent="0.2">
      <c r="A36" s="6">
        <v>43280</v>
      </c>
      <c r="B36">
        <v>4.6100000000000003</v>
      </c>
      <c r="C36">
        <v>0.12000000000000011</v>
      </c>
      <c r="D36">
        <v>2.672605790645882</v>
      </c>
      <c r="E36">
        <v>2.67</v>
      </c>
      <c r="F36">
        <v>-10.14</v>
      </c>
      <c r="G36">
        <v>-79.156908665105377</v>
      </c>
    </row>
    <row r="37" spans="1:7" x14ac:dyDescent="0.2">
      <c r="A37" s="6">
        <v>43189</v>
      </c>
      <c r="B37">
        <v>4.49</v>
      </c>
      <c r="C37">
        <v>0.51000000000000023</v>
      </c>
      <c r="D37">
        <v>12.814070351758799</v>
      </c>
      <c r="E37">
        <v>12.81</v>
      </c>
      <c r="F37">
        <v>9.9700000000000006</v>
      </c>
      <c r="G37">
        <v>351.05633802816908</v>
      </c>
    </row>
    <row r="38" spans="1:7" x14ac:dyDescent="0.2">
      <c r="A38" s="6">
        <v>43098</v>
      </c>
      <c r="B38">
        <v>3.98</v>
      </c>
      <c r="C38">
        <v>0.10999999999999988</v>
      </c>
      <c r="D38">
        <v>2.8423772609819089</v>
      </c>
      <c r="E38">
        <v>2.84</v>
      </c>
      <c r="F38">
        <v>4.62</v>
      </c>
      <c r="G38">
        <v>259.55056179775278</v>
      </c>
    </row>
    <row r="39" spans="1:7" x14ac:dyDescent="0.2">
      <c r="A39" s="6">
        <v>43007</v>
      </c>
      <c r="B39">
        <v>3.87</v>
      </c>
      <c r="C39">
        <v>-6.999999999999984E-2</v>
      </c>
      <c r="D39">
        <v>-1.7766497461928894</v>
      </c>
      <c r="E39">
        <v>-1.78</v>
      </c>
      <c r="F39">
        <v>5.95</v>
      </c>
      <c r="G39">
        <v>76.972833117723155</v>
      </c>
    </row>
    <row r="40" spans="1:7" x14ac:dyDescent="0.2">
      <c r="A40" s="6">
        <v>42916</v>
      </c>
      <c r="B40">
        <v>3.94</v>
      </c>
      <c r="C40">
        <v>-0.32999999999999963</v>
      </c>
      <c r="D40">
        <v>-7.7283372365339504</v>
      </c>
      <c r="E40">
        <v>-7.73</v>
      </c>
      <c r="F40">
        <v>-6.12</v>
      </c>
      <c r="G40">
        <v>-380.12422360248445</v>
      </c>
    </row>
    <row r="41" spans="1:7" x14ac:dyDescent="0.2">
      <c r="A41" s="6">
        <v>42825</v>
      </c>
      <c r="B41">
        <v>4.2699999999999996</v>
      </c>
      <c r="C41">
        <v>-7.0000000000000284E-2</v>
      </c>
      <c r="D41">
        <v>-1.6129032258064582</v>
      </c>
      <c r="E41">
        <v>-1.61</v>
      </c>
      <c r="F41">
        <v>-24.56</v>
      </c>
      <c r="G41">
        <v>-107.01525054466231</v>
      </c>
    </row>
    <row r="42" spans="1:7" x14ac:dyDescent="0.2">
      <c r="A42" s="6">
        <v>42734</v>
      </c>
      <c r="B42">
        <v>4.34</v>
      </c>
      <c r="C42">
        <v>0.81</v>
      </c>
      <c r="D42">
        <v>22.946175637393768</v>
      </c>
      <c r="E42">
        <v>22.95</v>
      </c>
      <c r="F42">
        <v>25.169999999999998</v>
      </c>
      <c r="G42">
        <v>1133.7837837837837</v>
      </c>
    </row>
    <row r="43" spans="1:7" x14ac:dyDescent="0.2">
      <c r="A43" s="6">
        <v>42643</v>
      </c>
      <c r="B43">
        <v>3.53</v>
      </c>
      <c r="C43">
        <v>-8.0000000000000071E-2</v>
      </c>
      <c r="D43">
        <v>-2.2160664819944618</v>
      </c>
      <c r="E43">
        <v>-2.2200000000000002</v>
      </c>
      <c r="F43">
        <v>1.5099999999999998</v>
      </c>
      <c r="G43">
        <v>40.482573726541546</v>
      </c>
    </row>
    <row r="44" spans="1:7" x14ac:dyDescent="0.2">
      <c r="A44" s="6">
        <v>42551</v>
      </c>
      <c r="B44">
        <v>3.61</v>
      </c>
      <c r="C44">
        <v>-0.14000000000000012</v>
      </c>
      <c r="D44">
        <v>-3.7333333333333365</v>
      </c>
      <c r="E44">
        <v>-3.73</v>
      </c>
      <c r="F44">
        <v>2.7500000000000004</v>
      </c>
      <c r="G44">
        <v>42.438271604938279</v>
      </c>
    </row>
    <row r="45" spans="1:7" x14ac:dyDescent="0.2">
      <c r="A45" s="6">
        <v>42460</v>
      </c>
      <c r="B45">
        <v>3.75</v>
      </c>
      <c r="C45">
        <v>-0.25999999999999979</v>
      </c>
      <c r="D45">
        <v>-6.483790523690768</v>
      </c>
      <c r="E45">
        <v>-6.48</v>
      </c>
      <c r="F45">
        <v>-8.7800000000000011</v>
      </c>
      <c r="G45">
        <v>-381.73913043478268</v>
      </c>
    </row>
    <row r="46" spans="1:7" x14ac:dyDescent="0.2">
      <c r="A46" s="6">
        <v>42369</v>
      </c>
      <c r="B46">
        <v>4.01</v>
      </c>
      <c r="C46">
        <v>8.9999999999999858E-2</v>
      </c>
      <c r="D46">
        <v>2.295918367346935</v>
      </c>
      <c r="E46">
        <v>2.2999999999999998</v>
      </c>
      <c r="F46">
        <v>6.22</v>
      </c>
      <c r="G46">
        <v>158.67346938775509</v>
      </c>
    </row>
    <row r="47" spans="1:7" x14ac:dyDescent="0.2">
      <c r="A47" s="6">
        <v>42277</v>
      </c>
      <c r="B47">
        <v>3.92</v>
      </c>
      <c r="C47">
        <v>-0.16000000000000014</v>
      </c>
      <c r="D47">
        <v>-3.9215686274509838</v>
      </c>
      <c r="E47">
        <v>-3.92</v>
      </c>
      <c r="F47">
        <v>-13.01</v>
      </c>
      <c r="G47">
        <v>-143.12431243124314</v>
      </c>
    </row>
    <row r="48" spans="1:7" x14ac:dyDescent="0.2">
      <c r="A48" s="6">
        <v>42185</v>
      </c>
      <c r="B48">
        <v>4.08</v>
      </c>
      <c r="C48">
        <v>0.33999999999999986</v>
      </c>
      <c r="D48">
        <v>9.0909090909090864</v>
      </c>
      <c r="E48">
        <v>9.09</v>
      </c>
      <c r="F48">
        <v>12.7</v>
      </c>
      <c r="G48">
        <v>351.80055401662054</v>
      </c>
    </row>
    <row r="49" spans="1:7" x14ac:dyDescent="0.2">
      <c r="A49" s="6">
        <v>42094</v>
      </c>
      <c r="B49">
        <v>3.74</v>
      </c>
      <c r="C49">
        <v>-0.13999999999999968</v>
      </c>
      <c r="D49">
        <v>-3.6082474226804044</v>
      </c>
      <c r="E49">
        <v>-3.61</v>
      </c>
      <c r="F49">
        <v>4.8800000000000008</v>
      </c>
      <c r="G49">
        <v>57.479387514723207</v>
      </c>
    </row>
    <row r="50" spans="1:7" x14ac:dyDescent="0.2">
      <c r="A50" s="6">
        <v>42004</v>
      </c>
      <c r="B50">
        <v>3.88</v>
      </c>
      <c r="C50">
        <v>-0.36000000000000032</v>
      </c>
      <c r="D50">
        <v>-8.4905660377358547</v>
      </c>
      <c r="E50">
        <v>-8.49</v>
      </c>
      <c r="F50">
        <v>-9.93</v>
      </c>
      <c r="G50">
        <v>-689.58333333333337</v>
      </c>
    </row>
    <row r="51" spans="1:7" x14ac:dyDescent="0.2">
      <c r="A51" s="6">
        <v>41912</v>
      </c>
      <c r="B51">
        <v>4.24</v>
      </c>
      <c r="C51">
        <v>6.0000000000000497E-2</v>
      </c>
      <c r="D51">
        <v>1.4354066985646052</v>
      </c>
      <c r="E51">
        <v>1.44</v>
      </c>
      <c r="F51">
        <v>7.51</v>
      </c>
      <c r="G51">
        <v>123.72322899505765</v>
      </c>
    </row>
    <row r="52" spans="1:7" x14ac:dyDescent="0.2">
      <c r="A52" s="6">
        <v>41820</v>
      </c>
      <c r="B52">
        <v>4.18</v>
      </c>
      <c r="C52">
        <v>-0.27000000000000046</v>
      </c>
      <c r="D52">
        <v>-6.067415730337089</v>
      </c>
      <c r="E52">
        <v>-6.07</v>
      </c>
      <c r="F52">
        <v>-4.09</v>
      </c>
      <c r="G52">
        <v>-206.56565656565655</v>
      </c>
    </row>
    <row r="53" spans="1:7" x14ac:dyDescent="0.2">
      <c r="A53" s="6">
        <v>41729</v>
      </c>
      <c r="B53">
        <v>4.45</v>
      </c>
      <c r="C53">
        <v>-8.9999999999999858E-2</v>
      </c>
      <c r="D53">
        <v>-1.9823788546255474</v>
      </c>
      <c r="E53">
        <v>-1.98</v>
      </c>
      <c r="F53">
        <v>-5.63</v>
      </c>
      <c r="G53">
        <v>-154.24657534246575</v>
      </c>
    </row>
    <row r="54" spans="1:7" x14ac:dyDescent="0.2">
      <c r="A54" s="6">
        <v>41639</v>
      </c>
      <c r="B54">
        <v>4.54</v>
      </c>
      <c r="C54">
        <v>0.16000000000000014</v>
      </c>
      <c r="D54">
        <v>3.6529680365296837</v>
      </c>
      <c r="E54">
        <v>3.65</v>
      </c>
      <c r="F54">
        <v>-5.85</v>
      </c>
      <c r="G54">
        <v>-61.578947368421055</v>
      </c>
    </row>
    <row r="55" spans="1:7" x14ac:dyDescent="0.2">
      <c r="A55" s="6">
        <v>41547</v>
      </c>
      <c r="B55">
        <v>4.38</v>
      </c>
      <c r="C55">
        <v>0.37999999999999989</v>
      </c>
      <c r="D55">
        <v>9.4999999999999964</v>
      </c>
      <c r="E55">
        <v>9.5</v>
      </c>
      <c r="F55">
        <v>-1.6099999999999994</v>
      </c>
      <c r="G55">
        <v>-14.491449144914487</v>
      </c>
    </row>
    <row r="56" spans="1:7" x14ac:dyDescent="0.2">
      <c r="A56" s="6">
        <v>41453</v>
      </c>
      <c r="B56">
        <v>4</v>
      </c>
      <c r="C56">
        <v>0.39999999999999991</v>
      </c>
      <c r="D56">
        <v>11.111111111111109</v>
      </c>
      <c r="E56">
        <v>11.11</v>
      </c>
      <c r="F56">
        <v>5.5399999999999991</v>
      </c>
      <c r="G56">
        <v>99.461400359066403</v>
      </c>
    </row>
    <row r="57" spans="1:7" x14ac:dyDescent="0.2">
      <c r="A57" s="6">
        <v>41362</v>
      </c>
      <c r="B57">
        <v>3.6</v>
      </c>
      <c r="C57">
        <v>0.18999999999999995</v>
      </c>
      <c r="D57">
        <v>5.571847507331376</v>
      </c>
      <c r="E57">
        <v>5.57</v>
      </c>
      <c r="F57">
        <v>9.24</v>
      </c>
      <c r="G57">
        <v>251.77111716621255</v>
      </c>
    </row>
    <row r="58" spans="1:7" x14ac:dyDescent="0.2">
      <c r="A58" s="6">
        <v>41274</v>
      </c>
      <c r="B58">
        <v>3.41</v>
      </c>
      <c r="C58">
        <v>-0.12999999999999989</v>
      </c>
      <c r="D58">
        <v>-3.672316384180788</v>
      </c>
      <c r="E58">
        <v>-3.67</v>
      </c>
      <c r="F58">
        <v>1.17</v>
      </c>
      <c r="G58">
        <v>24.173553719008265</v>
      </c>
    </row>
    <row r="59" spans="1:7" x14ac:dyDescent="0.2">
      <c r="A59" s="6">
        <v>41180</v>
      </c>
      <c r="B59">
        <v>3.54</v>
      </c>
      <c r="C59">
        <v>-0.18000000000000016</v>
      </c>
      <c r="D59">
        <v>-4.8387096774193585</v>
      </c>
      <c r="E59">
        <v>-4.84</v>
      </c>
      <c r="F59">
        <v>5.52</v>
      </c>
      <c r="G59">
        <v>53.281853281853287</v>
      </c>
    </row>
    <row r="60" spans="1:7" x14ac:dyDescent="0.2">
      <c r="A60" s="6">
        <v>41089</v>
      </c>
      <c r="B60">
        <v>3.72</v>
      </c>
      <c r="C60">
        <v>-0.43000000000000016</v>
      </c>
      <c r="D60">
        <v>-10.361445783132533</v>
      </c>
      <c r="E60">
        <v>-10.36</v>
      </c>
      <c r="F60">
        <v>-14.89</v>
      </c>
      <c r="G60">
        <v>-328.69757174392936</v>
      </c>
    </row>
    <row r="61" spans="1:7" x14ac:dyDescent="0.2">
      <c r="A61" s="6">
        <v>40998</v>
      </c>
      <c r="B61">
        <v>4.1500000000000004</v>
      </c>
      <c r="C61">
        <v>0.18000000000000016</v>
      </c>
      <c r="D61">
        <v>4.5340050377833787</v>
      </c>
      <c r="E61">
        <v>4.53</v>
      </c>
      <c r="F61">
        <v>8.870000000000001</v>
      </c>
      <c r="G61">
        <v>204.37788018433184</v>
      </c>
    </row>
    <row r="62" spans="1:7" x14ac:dyDescent="0.2">
      <c r="A62" s="6">
        <v>40907</v>
      </c>
      <c r="B62">
        <v>3.97</v>
      </c>
      <c r="C62">
        <v>-0.18000000000000016</v>
      </c>
      <c r="D62">
        <v>-4.3373493975903648</v>
      </c>
      <c r="E62">
        <v>-4.34</v>
      </c>
      <c r="F62">
        <v>4.8499999999999996</v>
      </c>
      <c r="G62">
        <v>52.774755168661585</v>
      </c>
    </row>
    <row r="63" spans="1:7" x14ac:dyDescent="0.2">
      <c r="A63" s="6">
        <v>40816</v>
      </c>
      <c r="B63">
        <v>4.1500000000000004</v>
      </c>
      <c r="C63">
        <v>-0.41999999999999993</v>
      </c>
      <c r="D63">
        <v>-9.1903719912472628</v>
      </c>
      <c r="E63">
        <v>-9.19</v>
      </c>
      <c r="F63">
        <v>-3.0299999999999994</v>
      </c>
      <c r="G63">
        <v>-49.188311688311678</v>
      </c>
    </row>
    <row r="64" spans="1:7" x14ac:dyDescent="0.2">
      <c r="A64" s="6">
        <v>40724</v>
      </c>
      <c r="B64">
        <v>4.57</v>
      </c>
      <c r="C64">
        <v>-0.29999999999999982</v>
      </c>
      <c r="D64">
        <v>-6.1601642710472237</v>
      </c>
      <c r="E64">
        <v>-6.16</v>
      </c>
      <c r="F64">
        <v>-6.16</v>
      </c>
      <c r="G64" t="e">
        <v>#DIV/0!</v>
      </c>
    </row>
    <row r="65" spans="1:7" x14ac:dyDescent="0.2">
      <c r="A65" s="6">
        <v>40633</v>
      </c>
      <c r="B65">
        <v>4.87</v>
      </c>
      <c r="C65">
        <v>0</v>
      </c>
      <c r="D65">
        <v>0</v>
      </c>
      <c r="E65">
        <v>0</v>
      </c>
      <c r="F65">
        <v>-9.93</v>
      </c>
      <c r="G65">
        <v>-100</v>
      </c>
    </row>
    <row r="66" spans="1:7" x14ac:dyDescent="0.2">
      <c r="A66" s="6">
        <v>40543</v>
      </c>
      <c r="B66">
        <v>4.87</v>
      </c>
      <c r="C66">
        <v>0.44000000000000039</v>
      </c>
      <c r="D66">
        <v>9.9322799097065566</v>
      </c>
      <c r="E66">
        <v>9.93</v>
      </c>
      <c r="F66">
        <v>16.670000000000002</v>
      </c>
      <c r="G66">
        <v>247.32937685459945</v>
      </c>
    </row>
    <row r="67" spans="1:7" x14ac:dyDescent="0.2">
      <c r="A67" s="6">
        <v>40451</v>
      </c>
      <c r="B67">
        <v>4.43</v>
      </c>
      <c r="C67">
        <v>-0.32000000000000028</v>
      </c>
      <c r="D67">
        <v>-6.7368421052631637</v>
      </c>
      <c r="E67">
        <v>-6.74</v>
      </c>
      <c r="F67">
        <v>-0.99000000000000021</v>
      </c>
      <c r="G67">
        <v>-17.217391304347831</v>
      </c>
    </row>
    <row r="68" spans="1:7" x14ac:dyDescent="0.2">
      <c r="A68" s="6">
        <v>40359</v>
      </c>
      <c r="B68">
        <v>4.75</v>
      </c>
      <c r="C68">
        <v>-0.29000000000000004</v>
      </c>
      <c r="D68">
        <v>-5.7539682539682548</v>
      </c>
      <c r="E68">
        <v>-5.75</v>
      </c>
      <c r="F68">
        <v>-4.38</v>
      </c>
      <c r="G68">
        <v>-319.70802919708029</v>
      </c>
    </row>
    <row r="69" spans="1:7" x14ac:dyDescent="0.2">
      <c r="A69" s="6">
        <v>40268</v>
      </c>
      <c r="B69">
        <v>5.04</v>
      </c>
      <c r="C69">
        <v>-7.0000000000000284E-2</v>
      </c>
      <c r="D69">
        <v>-1.3698630136986356</v>
      </c>
      <c r="E69">
        <v>-1.37</v>
      </c>
      <c r="F69">
        <v>-1.7600000000000002</v>
      </c>
      <c r="G69">
        <v>-451.28205128205133</v>
      </c>
    </row>
    <row r="70" spans="1:7" x14ac:dyDescent="0.2">
      <c r="A70" s="6">
        <v>40178</v>
      </c>
      <c r="B70">
        <v>5.1100000000000003</v>
      </c>
      <c r="C70">
        <v>2.0000000000000462E-2</v>
      </c>
      <c r="D70">
        <v>0.39292730844794621</v>
      </c>
      <c r="E70">
        <v>0.39</v>
      </c>
      <c r="F70">
        <v>7.51</v>
      </c>
      <c r="G70">
        <v>105.47752808988764</v>
      </c>
    </row>
    <row r="71" spans="1:7" x14ac:dyDescent="0.2">
      <c r="A71" s="6">
        <v>40086</v>
      </c>
      <c r="B71">
        <v>5.09</v>
      </c>
      <c r="C71">
        <v>-0.39000000000000057</v>
      </c>
      <c r="D71">
        <v>-7.1167883211678928</v>
      </c>
      <c r="E71">
        <v>-7.12</v>
      </c>
      <c r="F71">
        <v>-18.73</v>
      </c>
      <c r="G71">
        <v>-161.32644272179158</v>
      </c>
    </row>
    <row r="72" spans="1:7" x14ac:dyDescent="0.2">
      <c r="A72" s="6">
        <v>39994</v>
      </c>
      <c r="B72">
        <v>5.48</v>
      </c>
      <c r="C72">
        <v>0.57000000000000028</v>
      </c>
      <c r="D72">
        <v>11.608961303462328</v>
      </c>
      <c r="E72">
        <v>11.61</v>
      </c>
      <c r="F72">
        <v>17.369999999999997</v>
      </c>
      <c r="G72">
        <v>301.5625</v>
      </c>
    </row>
    <row r="73" spans="1:7" x14ac:dyDescent="0.2">
      <c r="A73" s="6">
        <v>39903</v>
      </c>
      <c r="B73">
        <v>4.91</v>
      </c>
      <c r="C73">
        <v>-0.29999999999999982</v>
      </c>
      <c r="D73">
        <v>-5.7581573896353131</v>
      </c>
      <c r="E73">
        <v>-5.76</v>
      </c>
      <c r="F73">
        <v>9.66</v>
      </c>
      <c r="G73">
        <v>62.645914396887157</v>
      </c>
    </row>
    <row r="74" spans="1:7" x14ac:dyDescent="0.2">
      <c r="A74" s="6">
        <v>39813</v>
      </c>
      <c r="B74">
        <v>5.21</v>
      </c>
      <c r="C74">
        <v>-0.95000000000000018</v>
      </c>
      <c r="D74">
        <v>-15.422077922077923</v>
      </c>
      <c r="E74">
        <v>-15.42</v>
      </c>
      <c r="F74">
        <v>-10.039999999999999</v>
      </c>
      <c r="G74">
        <v>-186.6171003717472</v>
      </c>
    </row>
    <row r="75" spans="1:7" x14ac:dyDescent="0.2">
      <c r="A75" s="6">
        <v>39721</v>
      </c>
      <c r="B75">
        <v>6.16</v>
      </c>
      <c r="C75">
        <v>-0.34999999999999964</v>
      </c>
      <c r="D75">
        <v>-5.3763440860214997</v>
      </c>
      <c r="E75">
        <v>-5.38</v>
      </c>
      <c r="F75">
        <v>-15.91</v>
      </c>
      <c r="G75">
        <v>-151.09211775878444</v>
      </c>
    </row>
    <row r="76" spans="1:7" x14ac:dyDescent="0.2">
      <c r="A76" s="6">
        <v>39629</v>
      </c>
      <c r="B76">
        <v>6.51</v>
      </c>
      <c r="C76">
        <v>0.62000000000000011</v>
      </c>
      <c r="D76">
        <v>10.526315789473687</v>
      </c>
      <c r="E76">
        <v>10.53</v>
      </c>
      <c r="F76">
        <v>15.84</v>
      </c>
      <c r="G76">
        <v>298.30508474576271</v>
      </c>
    </row>
    <row r="77" spans="1:7" x14ac:dyDescent="0.2">
      <c r="A77" s="6">
        <v>39538</v>
      </c>
      <c r="B77">
        <v>5.89</v>
      </c>
      <c r="C77">
        <v>-0.33000000000000007</v>
      </c>
      <c r="D77">
        <v>-5.3054662379421238</v>
      </c>
      <c r="E77">
        <v>-5.31</v>
      </c>
      <c r="F77">
        <v>-2.6499999999999995</v>
      </c>
      <c r="G77">
        <v>-99.624060150375911</v>
      </c>
    </row>
    <row r="78" spans="1:7" x14ac:dyDescent="0.2">
      <c r="A78" s="6">
        <v>39447</v>
      </c>
      <c r="B78">
        <v>6.22</v>
      </c>
      <c r="C78">
        <v>-0.16999999999999993</v>
      </c>
      <c r="D78">
        <v>-2.6604068857589973</v>
      </c>
      <c r="E78">
        <v>-2.66</v>
      </c>
      <c r="F78">
        <v>2.5300000000000002</v>
      </c>
      <c r="G78">
        <v>48.747591522157997</v>
      </c>
    </row>
    <row r="79" spans="1:7" x14ac:dyDescent="0.2">
      <c r="A79" s="6">
        <v>39353</v>
      </c>
      <c r="B79">
        <v>6.39</v>
      </c>
      <c r="C79">
        <v>-0.35000000000000053</v>
      </c>
      <c r="D79">
        <v>-5.1928783382789403</v>
      </c>
      <c r="E79">
        <v>-5.19</v>
      </c>
      <c r="F79">
        <v>-13.900000000000002</v>
      </c>
      <c r="G79">
        <v>-159.58668197474168</v>
      </c>
    </row>
    <row r="80" spans="1:7" x14ac:dyDescent="0.2">
      <c r="A80" s="6">
        <v>39262</v>
      </c>
      <c r="B80">
        <v>6.74</v>
      </c>
      <c r="C80">
        <v>0.54</v>
      </c>
      <c r="D80">
        <v>8.7096774193548381</v>
      </c>
      <c r="E80">
        <v>8.7100000000000009</v>
      </c>
      <c r="F80">
        <v>8.2200000000000006</v>
      </c>
      <c r="G80">
        <v>1677.5510204081636</v>
      </c>
    </row>
    <row r="81" spans="1:7" x14ac:dyDescent="0.2">
      <c r="A81" s="6">
        <v>39171</v>
      </c>
      <c r="B81">
        <v>6.2</v>
      </c>
      <c r="C81">
        <v>3.0000000000000249E-2</v>
      </c>
      <c r="D81">
        <v>0.48622366288493113</v>
      </c>
      <c r="E81">
        <v>0.49</v>
      </c>
      <c r="F81">
        <v>4.83</v>
      </c>
      <c r="G81">
        <v>111.29032258064517</v>
      </c>
    </row>
    <row r="82" spans="1:7" x14ac:dyDescent="0.2">
      <c r="A82" s="6">
        <v>39080</v>
      </c>
      <c r="B82">
        <v>6.17</v>
      </c>
      <c r="C82">
        <v>-0.28000000000000025</v>
      </c>
      <c r="D82">
        <v>-4.3410852713178336</v>
      </c>
      <c r="E82">
        <v>-4.34</v>
      </c>
      <c r="F82">
        <v>0.25</v>
      </c>
      <c r="G82">
        <v>5.4466230936819171</v>
      </c>
    </row>
    <row r="83" spans="1:7" x14ac:dyDescent="0.2">
      <c r="A83" s="6">
        <v>38989</v>
      </c>
      <c r="B83">
        <v>6.45</v>
      </c>
      <c r="C83">
        <v>-0.30999999999999961</v>
      </c>
      <c r="D83">
        <v>-4.5857988165680421</v>
      </c>
      <c r="E83">
        <v>-4.59</v>
      </c>
      <c r="F83">
        <v>-10.55</v>
      </c>
      <c r="G83">
        <v>-177.01342281879195</v>
      </c>
    </row>
    <row r="84" spans="1:7" x14ac:dyDescent="0.2">
      <c r="A84" s="6">
        <v>38898</v>
      </c>
      <c r="B84">
        <v>6.76</v>
      </c>
      <c r="C84">
        <v>0.37999999999999989</v>
      </c>
      <c r="D84">
        <v>5.9561128526645746</v>
      </c>
      <c r="E84">
        <v>5.96</v>
      </c>
      <c r="F84">
        <v>5.01</v>
      </c>
      <c r="G84">
        <v>527.36842105263156</v>
      </c>
    </row>
    <row r="85" spans="1:7" x14ac:dyDescent="0.2">
      <c r="A85" s="6">
        <v>38807</v>
      </c>
      <c r="B85">
        <v>6.38</v>
      </c>
      <c r="C85">
        <v>5.9999999999999609E-2</v>
      </c>
      <c r="D85">
        <v>0.94936708860758867</v>
      </c>
      <c r="E85">
        <v>0.95</v>
      </c>
      <c r="F85">
        <v>-6.8999999999999995</v>
      </c>
      <c r="G85">
        <v>-87.898089171974533</v>
      </c>
    </row>
    <row r="86" spans="1:7" x14ac:dyDescent="0.2">
      <c r="A86" s="6">
        <v>38716</v>
      </c>
      <c r="B86">
        <v>6.32</v>
      </c>
      <c r="E86">
        <v>7.85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B77E-D3AA-4981-97F3-F9F987426D08}">
  <dimension ref="A1:I85"/>
  <sheetViews>
    <sheetView workbookViewId="0">
      <selection activeCell="C13" sqref="C13"/>
    </sheetView>
  </sheetViews>
  <sheetFormatPr baseColWidth="10" defaultColWidth="8.83203125" defaultRowHeight="15" outlineLevelCol="1" x14ac:dyDescent="0.2"/>
  <cols>
    <col min="1" max="1" width="10.6640625" customWidth="1"/>
    <col min="2" max="2" width="21.5" customWidth="1"/>
    <col min="3" max="3" width="20" customWidth="1"/>
    <col min="4" max="8" width="9.1640625" hidden="1" customWidth="1" outlineLevel="1"/>
    <col min="9" max="9" width="9.1640625" collapsed="1"/>
  </cols>
  <sheetData>
    <row r="1" spans="1:9" x14ac:dyDescent="0.2">
      <c r="A1" t="s">
        <v>0</v>
      </c>
      <c r="B1" t="s">
        <v>46</v>
      </c>
    </row>
    <row r="2" spans="1:9" x14ac:dyDescent="0.2">
      <c r="A2" t="s">
        <v>2</v>
      </c>
      <c r="B2" s="5">
        <v>38716</v>
      </c>
      <c r="C2" s="5"/>
    </row>
    <row r="3" spans="1:9" x14ac:dyDescent="0.2">
      <c r="A3" t="s">
        <v>3</v>
      </c>
      <c r="B3" s="5">
        <v>45838</v>
      </c>
      <c r="C3" s="5"/>
    </row>
    <row r="4" spans="1:9" x14ac:dyDescent="0.2">
      <c r="A4" t="s">
        <v>4</v>
      </c>
      <c r="B4" t="s">
        <v>19</v>
      </c>
      <c r="C4" t="s">
        <v>50</v>
      </c>
    </row>
    <row r="6" spans="1:9" x14ac:dyDescent="0.2">
      <c r="A6" t="s">
        <v>6</v>
      </c>
      <c r="B6" t="s">
        <v>47</v>
      </c>
      <c r="C6" t="s">
        <v>48</v>
      </c>
      <c r="D6" t="s">
        <v>8</v>
      </c>
      <c r="E6" t="s">
        <v>9</v>
      </c>
      <c r="F6" t="s">
        <v>10</v>
      </c>
      <c r="G6" t="s">
        <v>8</v>
      </c>
      <c r="H6" t="s">
        <v>9</v>
      </c>
      <c r="I6" t="s">
        <v>14</v>
      </c>
    </row>
    <row r="7" spans="1:9" x14ac:dyDescent="0.2">
      <c r="A7" s="6">
        <v>45838</v>
      </c>
      <c r="B7">
        <v>1393</v>
      </c>
      <c r="C7" s="4">
        <f>B7*1000/12</f>
        <v>116083.33333333333</v>
      </c>
      <c r="D7">
        <v>-88</v>
      </c>
      <c r="E7">
        <v>-5.941931127616475</v>
      </c>
      <c r="F7">
        <v>-6</v>
      </c>
      <c r="G7">
        <v>-6</v>
      </c>
      <c r="H7" t="e">
        <v>#DIV/0!</v>
      </c>
    </row>
    <row r="8" spans="1:9" x14ac:dyDescent="0.2">
      <c r="A8" s="6">
        <v>45747</v>
      </c>
      <c r="B8">
        <v>1481</v>
      </c>
      <c r="C8" s="4">
        <f t="shared" ref="C8:C71" si="0">B8*1000/12</f>
        <v>123416.66666666667</v>
      </c>
      <c r="D8">
        <v>1</v>
      </c>
      <c r="E8">
        <v>6.7567567567567571E-2</v>
      </c>
      <c r="F8">
        <v>0</v>
      </c>
      <c r="G8">
        <v>-3</v>
      </c>
      <c r="H8">
        <v>-100</v>
      </c>
    </row>
    <row r="9" spans="1:9" x14ac:dyDescent="0.2">
      <c r="A9" s="6">
        <v>45657</v>
      </c>
      <c r="B9">
        <v>1480</v>
      </c>
      <c r="C9" s="4">
        <f t="shared" si="0"/>
        <v>123333.33333333333</v>
      </c>
      <c r="D9">
        <v>46</v>
      </c>
      <c r="E9">
        <v>3.2078103207810322</v>
      </c>
      <c r="F9">
        <v>3</v>
      </c>
      <c r="G9">
        <v>5</v>
      </c>
      <c r="H9">
        <v>250</v>
      </c>
    </row>
    <row r="10" spans="1:9" x14ac:dyDescent="0.2">
      <c r="A10" s="6">
        <v>45565</v>
      </c>
      <c r="B10">
        <v>1434</v>
      </c>
      <c r="C10" s="4">
        <f t="shared" si="0"/>
        <v>119500</v>
      </c>
      <c r="D10">
        <v>-27</v>
      </c>
      <c r="E10">
        <v>-1.8480492813141685</v>
      </c>
      <c r="F10">
        <v>-2</v>
      </c>
      <c r="G10">
        <v>-1</v>
      </c>
      <c r="H10">
        <v>-100</v>
      </c>
    </row>
    <row r="11" spans="1:9" x14ac:dyDescent="0.2">
      <c r="A11" s="6">
        <v>45471</v>
      </c>
      <c r="B11">
        <v>1461</v>
      </c>
      <c r="C11" s="4">
        <f t="shared" si="0"/>
        <v>121750</v>
      </c>
      <c r="D11">
        <v>-15</v>
      </c>
      <c r="E11">
        <v>-1.0162601626016261</v>
      </c>
      <c r="F11">
        <v>-1</v>
      </c>
      <c r="G11">
        <v>2</v>
      </c>
      <c r="H11">
        <v>66.666666666666671</v>
      </c>
    </row>
    <row r="12" spans="1:9" x14ac:dyDescent="0.2">
      <c r="A12" s="6">
        <v>45380</v>
      </c>
      <c r="B12">
        <v>1476</v>
      </c>
      <c r="C12" s="4">
        <f t="shared" si="0"/>
        <v>123000</v>
      </c>
      <c r="D12">
        <v>-43</v>
      </c>
      <c r="E12">
        <v>-2.8308097432521397</v>
      </c>
      <c r="F12">
        <v>-3</v>
      </c>
      <c r="G12">
        <v>-2</v>
      </c>
      <c r="H12">
        <v>-200</v>
      </c>
    </row>
    <row r="13" spans="1:9" x14ac:dyDescent="0.2">
      <c r="A13" s="6">
        <v>45289</v>
      </c>
      <c r="B13">
        <v>1519</v>
      </c>
      <c r="C13" s="4">
        <f t="shared" si="0"/>
        <v>126583.33333333333</v>
      </c>
      <c r="D13">
        <v>-18</v>
      </c>
      <c r="E13">
        <v>-1.1711125569290826</v>
      </c>
      <c r="F13">
        <v>-1</v>
      </c>
      <c r="G13">
        <v>-6</v>
      </c>
      <c r="H13">
        <v>-120</v>
      </c>
    </row>
    <row r="14" spans="1:9" x14ac:dyDescent="0.2">
      <c r="A14" s="6">
        <v>45198</v>
      </c>
      <c r="B14">
        <v>1537</v>
      </c>
      <c r="C14" s="4">
        <f t="shared" si="0"/>
        <v>128083.33333333333</v>
      </c>
      <c r="D14">
        <v>73</v>
      </c>
      <c r="E14">
        <v>4.9863387978142075</v>
      </c>
      <c r="F14">
        <v>5</v>
      </c>
      <c r="G14">
        <v>6</v>
      </c>
      <c r="H14">
        <v>600</v>
      </c>
    </row>
    <row r="15" spans="1:9" x14ac:dyDescent="0.2">
      <c r="A15" s="6">
        <v>45107</v>
      </c>
      <c r="B15">
        <v>1464</v>
      </c>
      <c r="C15" s="4">
        <f t="shared" si="0"/>
        <v>122000</v>
      </c>
      <c r="D15">
        <v>-16</v>
      </c>
      <c r="E15">
        <v>-1.0810810810810811</v>
      </c>
      <c r="F15">
        <v>-1</v>
      </c>
      <c r="G15">
        <v>-6</v>
      </c>
      <c r="H15">
        <v>-120</v>
      </c>
    </row>
    <row r="16" spans="1:9" x14ac:dyDescent="0.2">
      <c r="A16" s="6">
        <v>45016</v>
      </c>
      <c r="B16">
        <v>1480</v>
      </c>
      <c r="C16" s="4">
        <f t="shared" si="0"/>
        <v>123333.33333333333</v>
      </c>
      <c r="D16">
        <v>70</v>
      </c>
      <c r="E16">
        <v>4.9645390070921982</v>
      </c>
      <c r="F16">
        <v>5</v>
      </c>
      <c r="G16">
        <v>17</v>
      </c>
      <c r="H16">
        <v>141.66666666666666</v>
      </c>
    </row>
    <row r="17" spans="1:8" x14ac:dyDescent="0.2">
      <c r="A17" s="6">
        <v>44925</v>
      </c>
      <c r="B17">
        <v>1410</v>
      </c>
      <c r="C17" s="4">
        <f t="shared" si="0"/>
        <v>117500</v>
      </c>
      <c r="D17">
        <v>-190</v>
      </c>
      <c r="E17">
        <v>-11.875</v>
      </c>
      <c r="F17">
        <v>-12</v>
      </c>
      <c r="G17">
        <v>-4</v>
      </c>
      <c r="H17">
        <v>-50</v>
      </c>
    </row>
    <row r="18" spans="1:8" x14ac:dyDescent="0.2">
      <c r="A18" s="6">
        <v>44834</v>
      </c>
      <c r="B18">
        <v>1600</v>
      </c>
      <c r="C18" s="4">
        <f t="shared" si="0"/>
        <v>133333.33333333334</v>
      </c>
      <c r="D18">
        <v>-137</v>
      </c>
      <c r="E18">
        <v>-7.887161773172136</v>
      </c>
      <c r="F18">
        <v>-8</v>
      </c>
      <c r="G18">
        <v>-1</v>
      </c>
      <c r="H18">
        <v>-14.285714285714286</v>
      </c>
    </row>
    <row r="19" spans="1:8" x14ac:dyDescent="0.2">
      <c r="A19" s="6">
        <v>44742</v>
      </c>
      <c r="B19">
        <v>1737</v>
      </c>
      <c r="C19" s="4">
        <f t="shared" si="0"/>
        <v>144750</v>
      </c>
      <c r="D19">
        <v>-131</v>
      </c>
      <c r="E19">
        <v>-7.0128479657387581</v>
      </c>
      <c r="F19">
        <v>-7</v>
      </c>
      <c r="G19">
        <v>-4</v>
      </c>
      <c r="H19">
        <v>-133.33333333333334</v>
      </c>
    </row>
    <row r="20" spans="1:8" x14ac:dyDescent="0.2">
      <c r="A20" s="6">
        <v>44651</v>
      </c>
      <c r="B20">
        <v>1868</v>
      </c>
      <c r="C20" s="4">
        <f t="shared" si="0"/>
        <v>155666.66666666666</v>
      </c>
      <c r="D20">
        <v>-51</v>
      </c>
      <c r="E20">
        <v>-2.6576341844710787</v>
      </c>
      <c r="F20">
        <v>-3</v>
      </c>
      <c r="G20">
        <v>-20</v>
      </c>
      <c r="H20">
        <v>-117.64705882352941</v>
      </c>
    </row>
    <row r="21" spans="1:8" x14ac:dyDescent="0.2">
      <c r="A21" s="6">
        <v>44561</v>
      </c>
      <c r="B21">
        <v>1919</v>
      </c>
      <c r="C21" s="4">
        <f t="shared" si="0"/>
        <v>159916.66666666666</v>
      </c>
      <c r="D21">
        <v>279</v>
      </c>
      <c r="E21">
        <v>17.012195121951219</v>
      </c>
      <c r="F21">
        <v>17</v>
      </c>
      <c r="G21">
        <v>18</v>
      </c>
      <c r="H21">
        <v>1800</v>
      </c>
    </row>
    <row r="22" spans="1:8" x14ac:dyDescent="0.2">
      <c r="A22" s="6">
        <v>44469</v>
      </c>
      <c r="B22">
        <v>1640</v>
      </c>
      <c r="C22" s="4">
        <f t="shared" si="0"/>
        <v>136666.66666666666</v>
      </c>
      <c r="D22">
        <v>-14</v>
      </c>
      <c r="E22">
        <v>-0.84643288996372434</v>
      </c>
      <c r="F22">
        <v>-1</v>
      </c>
      <c r="G22">
        <v>5</v>
      </c>
      <c r="H22">
        <v>83.333333333333329</v>
      </c>
    </row>
    <row r="23" spans="1:8" x14ac:dyDescent="0.2">
      <c r="A23" s="6">
        <v>44377</v>
      </c>
      <c r="B23">
        <v>1654</v>
      </c>
      <c r="C23" s="4">
        <f t="shared" si="0"/>
        <v>137833.33333333334</v>
      </c>
      <c r="D23">
        <v>-102</v>
      </c>
      <c r="E23">
        <v>-5.808656036446469</v>
      </c>
      <c r="F23">
        <v>-6</v>
      </c>
      <c r="G23">
        <v>-6</v>
      </c>
      <c r="H23" t="e">
        <v>#DIV/0!</v>
      </c>
    </row>
    <row r="24" spans="1:8" x14ac:dyDescent="0.2">
      <c r="A24" s="6">
        <v>44286</v>
      </c>
      <c r="B24">
        <v>1756</v>
      </c>
      <c r="C24" s="4">
        <f t="shared" si="0"/>
        <v>146333.33333333334</v>
      </c>
      <c r="D24">
        <v>4</v>
      </c>
      <c r="E24">
        <v>0.22831050228310501</v>
      </c>
      <c r="F24">
        <v>0</v>
      </c>
      <c r="G24">
        <v>-7</v>
      </c>
      <c r="H24">
        <v>-100</v>
      </c>
    </row>
    <row r="25" spans="1:8" x14ac:dyDescent="0.2">
      <c r="A25" s="6">
        <v>44196</v>
      </c>
      <c r="B25">
        <v>1752</v>
      </c>
      <c r="C25" s="4">
        <f t="shared" si="0"/>
        <v>146000</v>
      </c>
      <c r="D25">
        <v>116</v>
      </c>
      <c r="E25">
        <v>7.0904645476772616</v>
      </c>
      <c r="F25">
        <v>7</v>
      </c>
      <c r="G25">
        <v>-16</v>
      </c>
      <c r="H25">
        <v>-69.565217391304344</v>
      </c>
    </row>
    <row r="26" spans="1:8" x14ac:dyDescent="0.2">
      <c r="A26" s="6">
        <v>44104</v>
      </c>
      <c r="B26">
        <v>1636</v>
      </c>
      <c r="C26" s="4">
        <f t="shared" si="0"/>
        <v>136333.33333333334</v>
      </c>
      <c r="D26">
        <v>302</v>
      </c>
      <c r="E26">
        <v>22.638680659670165</v>
      </c>
      <c r="F26">
        <v>23</v>
      </c>
      <c r="G26">
        <v>24</v>
      </c>
      <c r="H26">
        <v>2400</v>
      </c>
    </row>
    <row r="27" spans="1:8" x14ac:dyDescent="0.2">
      <c r="A27" s="6">
        <v>44012</v>
      </c>
      <c r="B27">
        <v>1334</v>
      </c>
      <c r="C27" s="4">
        <f t="shared" si="0"/>
        <v>111166.66666666667</v>
      </c>
      <c r="D27">
        <v>-12</v>
      </c>
      <c r="E27">
        <v>-0.89153046062407137</v>
      </c>
      <c r="F27">
        <v>-1</v>
      </c>
      <c r="G27">
        <v>6</v>
      </c>
      <c r="H27">
        <v>85.714285714285708</v>
      </c>
    </row>
    <row r="28" spans="1:8" x14ac:dyDescent="0.2">
      <c r="A28" s="6">
        <v>43921</v>
      </c>
      <c r="B28">
        <v>1346</v>
      </c>
      <c r="C28" s="4">
        <f t="shared" si="0"/>
        <v>112166.66666666667</v>
      </c>
      <c r="D28">
        <v>-97</v>
      </c>
      <c r="E28">
        <v>-6.7221067221067221</v>
      </c>
      <c r="F28">
        <v>-7</v>
      </c>
      <c r="G28">
        <v>-5</v>
      </c>
      <c r="H28">
        <v>-250</v>
      </c>
    </row>
    <row r="29" spans="1:8" x14ac:dyDescent="0.2">
      <c r="A29" s="6">
        <v>43830</v>
      </c>
      <c r="B29">
        <v>1443</v>
      </c>
      <c r="C29" s="4">
        <f t="shared" si="0"/>
        <v>120250</v>
      </c>
      <c r="D29">
        <v>-26</v>
      </c>
      <c r="E29">
        <v>-1.7699115044247788</v>
      </c>
      <c r="F29">
        <v>-2</v>
      </c>
      <c r="G29">
        <v>-15</v>
      </c>
      <c r="H29">
        <v>-115.38461538461539</v>
      </c>
    </row>
    <row r="30" spans="1:8" x14ac:dyDescent="0.2">
      <c r="A30" s="6">
        <v>43738</v>
      </c>
      <c r="B30">
        <v>1469</v>
      </c>
      <c r="C30" s="4">
        <f t="shared" si="0"/>
        <v>122416.66666666667</v>
      </c>
      <c r="D30">
        <v>170</v>
      </c>
      <c r="E30">
        <v>13.086989992301771</v>
      </c>
      <c r="F30">
        <v>13</v>
      </c>
      <c r="G30">
        <v>13</v>
      </c>
      <c r="H30" t="e">
        <v>#DIV/0!</v>
      </c>
    </row>
    <row r="31" spans="1:8" x14ac:dyDescent="0.2">
      <c r="A31" s="6">
        <v>43644</v>
      </c>
      <c r="B31">
        <v>1299</v>
      </c>
      <c r="C31" s="4">
        <f t="shared" si="0"/>
        <v>108250</v>
      </c>
      <c r="D31">
        <v>4</v>
      </c>
      <c r="E31">
        <v>0.30888030888030887</v>
      </c>
      <c r="F31">
        <v>0</v>
      </c>
      <c r="G31">
        <v>2</v>
      </c>
      <c r="H31">
        <v>100</v>
      </c>
    </row>
    <row r="32" spans="1:8" x14ac:dyDescent="0.2">
      <c r="A32" s="6">
        <v>43553</v>
      </c>
      <c r="B32">
        <v>1295</v>
      </c>
      <c r="C32" s="4">
        <f t="shared" si="0"/>
        <v>107916.66666666667</v>
      </c>
      <c r="D32">
        <v>-22</v>
      </c>
      <c r="E32">
        <v>-1.6704631738800304</v>
      </c>
      <c r="F32">
        <v>-2</v>
      </c>
      <c r="G32">
        <v>-2</v>
      </c>
      <c r="H32" t="e">
        <v>#DIV/0!</v>
      </c>
    </row>
    <row r="33" spans="1:8" x14ac:dyDescent="0.2">
      <c r="A33" s="6">
        <v>43465</v>
      </c>
      <c r="B33">
        <v>1317</v>
      </c>
      <c r="C33" s="4">
        <f t="shared" si="0"/>
        <v>109750</v>
      </c>
      <c r="D33">
        <v>3</v>
      </c>
      <c r="E33">
        <v>0.22831050228310501</v>
      </c>
      <c r="F33">
        <v>0</v>
      </c>
      <c r="G33">
        <v>2</v>
      </c>
      <c r="H33">
        <v>100</v>
      </c>
    </row>
    <row r="34" spans="1:8" x14ac:dyDescent="0.2">
      <c r="A34" s="6">
        <v>43371</v>
      </c>
      <c r="B34">
        <v>1314</v>
      </c>
      <c r="C34" s="4">
        <f t="shared" si="0"/>
        <v>109500</v>
      </c>
      <c r="D34">
        <v>-31</v>
      </c>
      <c r="E34">
        <v>-2.3048327137546467</v>
      </c>
      <c r="F34">
        <v>-2</v>
      </c>
      <c r="G34">
        <v>1</v>
      </c>
      <c r="H34">
        <v>33.333333333333336</v>
      </c>
    </row>
    <row r="35" spans="1:8" x14ac:dyDescent="0.2">
      <c r="A35" s="6">
        <v>43280</v>
      </c>
      <c r="B35">
        <v>1345</v>
      </c>
      <c r="C35" s="4">
        <f t="shared" si="0"/>
        <v>112083.33333333333</v>
      </c>
      <c r="D35">
        <v>-40</v>
      </c>
      <c r="E35">
        <v>-2.8880866425992782</v>
      </c>
      <c r="F35">
        <v>-3</v>
      </c>
      <c r="G35">
        <v>-9</v>
      </c>
      <c r="H35">
        <v>-150</v>
      </c>
    </row>
    <row r="36" spans="1:8" x14ac:dyDescent="0.2">
      <c r="A36" s="6">
        <v>43189</v>
      </c>
      <c r="B36">
        <v>1385</v>
      </c>
      <c r="C36" s="4">
        <f t="shared" si="0"/>
        <v>115416.66666666667</v>
      </c>
      <c r="D36">
        <v>74</v>
      </c>
      <c r="E36">
        <v>5.6445461479786418</v>
      </c>
      <c r="F36">
        <v>6</v>
      </c>
      <c r="G36">
        <v>3</v>
      </c>
      <c r="H36">
        <v>100</v>
      </c>
    </row>
    <row r="37" spans="1:8" x14ac:dyDescent="0.2">
      <c r="A37" s="6">
        <v>43098</v>
      </c>
      <c r="B37">
        <v>1311</v>
      </c>
      <c r="C37" s="4">
        <f t="shared" si="0"/>
        <v>109250</v>
      </c>
      <c r="D37">
        <v>38</v>
      </c>
      <c r="E37">
        <v>2.9850746268656718</v>
      </c>
      <c r="F37">
        <v>3</v>
      </c>
      <c r="G37">
        <v>9</v>
      </c>
      <c r="H37">
        <v>150</v>
      </c>
    </row>
    <row r="38" spans="1:8" x14ac:dyDescent="0.2">
      <c r="A38" s="6">
        <v>43007</v>
      </c>
      <c r="B38">
        <v>1273</v>
      </c>
      <c r="C38" s="4">
        <f t="shared" si="0"/>
        <v>106083.33333333333</v>
      </c>
      <c r="D38">
        <v>-80</v>
      </c>
      <c r="E38">
        <v>-5.9127864005912789</v>
      </c>
      <c r="F38">
        <v>-6</v>
      </c>
      <c r="G38">
        <v>-12</v>
      </c>
      <c r="H38">
        <v>-200</v>
      </c>
    </row>
    <row r="39" spans="1:8" x14ac:dyDescent="0.2">
      <c r="A39" s="6">
        <v>42916</v>
      </c>
      <c r="B39">
        <v>1353</v>
      </c>
      <c r="C39" s="4">
        <f t="shared" si="0"/>
        <v>112750</v>
      </c>
      <c r="D39">
        <v>81</v>
      </c>
      <c r="E39">
        <v>6.367924528301887</v>
      </c>
      <c r="F39">
        <v>6</v>
      </c>
      <c r="G39">
        <v>4</v>
      </c>
      <c r="H39">
        <v>200</v>
      </c>
    </row>
    <row r="40" spans="1:8" x14ac:dyDescent="0.2">
      <c r="A40" s="6">
        <v>42825</v>
      </c>
      <c r="B40">
        <v>1272</v>
      </c>
      <c r="C40" s="4">
        <f t="shared" si="0"/>
        <v>106000</v>
      </c>
      <c r="D40">
        <v>24</v>
      </c>
      <c r="E40">
        <v>1.9230769230769231</v>
      </c>
      <c r="F40">
        <v>2</v>
      </c>
      <c r="G40">
        <v>6</v>
      </c>
      <c r="H40">
        <v>150</v>
      </c>
    </row>
    <row r="41" spans="1:8" x14ac:dyDescent="0.2">
      <c r="A41" s="6">
        <v>42734</v>
      </c>
      <c r="B41">
        <v>1248</v>
      </c>
      <c r="C41" s="4">
        <f t="shared" si="0"/>
        <v>104000</v>
      </c>
      <c r="D41">
        <v>-55</v>
      </c>
      <c r="E41">
        <v>-4.2210283960092099</v>
      </c>
      <c r="F41">
        <v>-4</v>
      </c>
      <c r="G41">
        <v>-12</v>
      </c>
      <c r="H41">
        <v>-150</v>
      </c>
    </row>
    <row r="42" spans="1:8" x14ac:dyDescent="0.2">
      <c r="A42" s="6">
        <v>42643</v>
      </c>
      <c r="B42">
        <v>1303</v>
      </c>
      <c r="C42" s="4">
        <f t="shared" si="0"/>
        <v>108583.33333333333</v>
      </c>
      <c r="D42">
        <v>95</v>
      </c>
      <c r="E42">
        <v>7.8642384105960268</v>
      </c>
      <c r="F42">
        <v>8</v>
      </c>
      <c r="G42">
        <v>0</v>
      </c>
      <c r="H42">
        <v>0</v>
      </c>
    </row>
    <row r="43" spans="1:8" x14ac:dyDescent="0.2">
      <c r="A43" s="6">
        <v>42551</v>
      </c>
      <c r="B43">
        <v>1208</v>
      </c>
      <c r="C43" s="4">
        <f t="shared" si="0"/>
        <v>100666.66666666667</v>
      </c>
      <c r="D43">
        <v>90</v>
      </c>
      <c r="E43">
        <v>8.0500894454382834</v>
      </c>
      <c r="F43">
        <v>8</v>
      </c>
      <c r="G43">
        <v>16</v>
      </c>
      <c r="H43">
        <v>200</v>
      </c>
    </row>
    <row r="44" spans="1:8" x14ac:dyDescent="0.2">
      <c r="A44" s="6">
        <v>42460</v>
      </c>
      <c r="B44">
        <v>1118</v>
      </c>
      <c r="C44" s="4">
        <f t="shared" si="0"/>
        <v>93166.666666666672</v>
      </c>
      <c r="D44">
        <v>-93</v>
      </c>
      <c r="E44">
        <v>-7.679603633360859</v>
      </c>
      <c r="F44">
        <v>-8</v>
      </c>
      <c r="G44">
        <v>-14</v>
      </c>
      <c r="H44">
        <v>-233.33333333333334</v>
      </c>
    </row>
    <row r="45" spans="1:8" x14ac:dyDescent="0.2">
      <c r="A45" s="6">
        <v>42369</v>
      </c>
      <c r="B45">
        <v>1211</v>
      </c>
      <c r="C45" s="4">
        <f t="shared" si="0"/>
        <v>100916.66666666667</v>
      </c>
      <c r="D45">
        <v>67</v>
      </c>
      <c r="E45">
        <v>5.8566433566433567</v>
      </c>
      <c r="F45">
        <v>6</v>
      </c>
      <c r="G45">
        <v>23</v>
      </c>
      <c r="H45">
        <v>135.29411764705881</v>
      </c>
    </row>
    <row r="46" spans="1:8" x14ac:dyDescent="0.2">
      <c r="A46" s="6">
        <v>42277</v>
      </c>
      <c r="B46">
        <v>1144</v>
      </c>
      <c r="C46" s="4">
        <f t="shared" si="0"/>
        <v>95333.333333333328</v>
      </c>
      <c r="D46">
        <v>-235</v>
      </c>
      <c r="E46">
        <v>-17.041334300217549</v>
      </c>
      <c r="F46">
        <v>-17</v>
      </c>
      <c r="G46">
        <v>-46</v>
      </c>
      <c r="H46">
        <v>-158.62068965517241</v>
      </c>
    </row>
    <row r="47" spans="1:8" x14ac:dyDescent="0.2">
      <c r="A47" s="6">
        <v>42185</v>
      </c>
      <c r="B47">
        <v>1379</v>
      </c>
      <c r="C47" s="4">
        <f t="shared" si="0"/>
        <v>114916.66666666667</v>
      </c>
      <c r="D47">
        <v>307</v>
      </c>
      <c r="E47">
        <v>28.638059701492537</v>
      </c>
      <c r="F47">
        <v>29</v>
      </c>
      <c r="G47">
        <v>29</v>
      </c>
      <c r="H47" t="e">
        <v>#DIV/0!</v>
      </c>
    </row>
    <row r="48" spans="1:8" x14ac:dyDescent="0.2">
      <c r="A48" s="6">
        <v>42094</v>
      </c>
      <c r="B48">
        <v>1072</v>
      </c>
      <c r="C48" s="4">
        <f t="shared" si="0"/>
        <v>89333.333333333328</v>
      </c>
      <c r="D48">
        <v>0</v>
      </c>
      <c r="E48">
        <v>0</v>
      </c>
      <c r="F48">
        <v>0</v>
      </c>
      <c r="G48">
        <v>0</v>
      </c>
      <c r="H48" t="e">
        <v>#DIV/0!</v>
      </c>
    </row>
    <row r="49" spans="1:8" x14ac:dyDescent="0.2">
      <c r="A49" s="6">
        <v>42004</v>
      </c>
      <c r="B49">
        <v>1072</v>
      </c>
      <c r="C49" s="4">
        <f t="shared" si="0"/>
        <v>89333.333333333328</v>
      </c>
      <c r="D49">
        <v>-5</v>
      </c>
      <c r="E49">
        <v>-0.46425255338904364</v>
      </c>
      <c r="F49">
        <v>0</v>
      </c>
      <c r="G49">
        <v>-7</v>
      </c>
      <c r="H49">
        <v>-100</v>
      </c>
    </row>
    <row r="50" spans="1:8" x14ac:dyDescent="0.2">
      <c r="A50" s="6">
        <v>41912</v>
      </c>
      <c r="B50">
        <v>1077</v>
      </c>
      <c r="C50" s="4">
        <f t="shared" si="0"/>
        <v>89750</v>
      </c>
      <c r="D50">
        <v>67</v>
      </c>
      <c r="E50">
        <v>6.6336633663366333</v>
      </c>
      <c r="F50">
        <v>7</v>
      </c>
      <c r="G50">
        <v>12</v>
      </c>
      <c r="H50">
        <v>240</v>
      </c>
    </row>
    <row r="51" spans="1:8" x14ac:dyDescent="0.2">
      <c r="A51" s="6">
        <v>41820</v>
      </c>
      <c r="B51">
        <v>1010</v>
      </c>
      <c r="C51" s="4">
        <f t="shared" si="0"/>
        <v>84166.666666666672</v>
      </c>
      <c r="D51">
        <v>-57</v>
      </c>
      <c r="E51">
        <v>-5.3420805998125589</v>
      </c>
      <c r="F51">
        <v>-5</v>
      </c>
      <c r="G51">
        <v>-11</v>
      </c>
      <c r="H51">
        <v>-183.33333333333334</v>
      </c>
    </row>
    <row r="52" spans="1:8" x14ac:dyDescent="0.2">
      <c r="A52" s="6">
        <v>41729</v>
      </c>
      <c r="B52">
        <v>1067</v>
      </c>
      <c r="C52" s="4">
        <f t="shared" si="0"/>
        <v>88916.666666666672</v>
      </c>
      <c r="D52">
        <v>62</v>
      </c>
      <c r="E52">
        <v>6.1691542288557217</v>
      </c>
      <c r="F52">
        <v>6</v>
      </c>
      <c r="G52">
        <v>6</v>
      </c>
      <c r="H52" t="e">
        <v>#DIV/0!</v>
      </c>
    </row>
    <row r="53" spans="1:8" x14ac:dyDescent="0.2">
      <c r="A53" s="6">
        <v>41639</v>
      </c>
      <c r="B53">
        <v>1005</v>
      </c>
      <c r="C53" s="4">
        <f t="shared" si="0"/>
        <v>83750</v>
      </c>
      <c r="D53">
        <v>1</v>
      </c>
      <c r="E53">
        <v>9.9601593625498003E-2</v>
      </c>
      <c r="F53">
        <v>0</v>
      </c>
      <c r="G53">
        <v>-7</v>
      </c>
      <c r="H53">
        <v>-100</v>
      </c>
    </row>
    <row r="54" spans="1:8" x14ac:dyDescent="0.2">
      <c r="A54" s="6">
        <v>41547</v>
      </c>
      <c r="B54">
        <v>1004</v>
      </c>
      <c r="C54" s="4">
        <f t="shared" si="0"/>
        <v>83666.666666666672</v>
      </c>
      <c r="D54">
        <v>62</v>
      </c>
      <c r="E54">
        <v>6.5817409766454356</v>
      </c>
      <c r="F54">
        <v>7</v>
      </c>
      <c r="G54">
        <v>6</v>
      </c>
      <c r="H54">
        <v>600</v>
      </c>
    </row>
    <row r="55" spans="1:8" x14ac:dyDescent="0.2">
      <c r="A55" s="6">
        <v>41453</v>
      </c>
      <c r="B55">
        <v>942</v>
      </c>
      <c r="C55" s="4">
        <f t="shared" si="0"/>
        <v>78500</v>
      </c>
      <c r="D55">
        <v>6</v>
      </c>
      <c r="E55">
        <v>0.64102564102564108</v>
      </c>
      <c r="F55">
        <v>1</v>
      </c>
      <c r="G55">
        <v>2</v>
      </c>
      <c r="H55">
        <v>200</v>
      </c>
    </row>
    <row r="56" spans="1:8" x14ac:dyDescent="0.2">
      <c r="A56" s="6">
        <v>41362</v>
      </c>
      <c r="B56">
        <v>936</v>
      </c>
      <c r="C56" s="4">
        <f t="shared" si="0"/>
        <v>78000</v>
      </c>
      <c r="D56">
        <v>-5</v>
      </c>
      <c r="E56">
        <v>-0.53134962805526031</v>
      </c>
      <c r="F56">
        <v>-1</v>
      </c>
      <c r="G56">
        <v>-2</v>
      </c>
      <c r="H56">
        <v>-200</v>
      </c>
    </row>
    <row r="57" spans="1:8" x14ac:dyDescent="0.2">
      <c r="A57" s="6">
        <v>41274</v>
      </c>
      <c r="B57">
        <v>941</v>
      </c>
      <c r="C57" s="4">
        <f t="shared" si="0"/>
        <v>78416.666666666672</v>
      </c>
      <c r="D57">
        <v>11</v>
      </c>
      <c r="E57">
        <v>1.1827956989247312</v>
      </c>
      <c r="F57">
        <v>1</v>
      </c>
      <c r="G57">
        <v>-16</v>
      </c>
      <c r="H57">
        <v>-94.117647058823536</v>
      </c>
    </row>
    <row r="58" spans="1:8" x14ac:dyDescent="0.2">
      <c r="A58" s="6">
        <v>41180</v>
      </c>
      <c r="B58">
        <v>930</v>
      </c>
      <c r="C58" s="4">
        <f t="shared" si="0"/>
        <v>77500</v>
      </c>
      <c r="D58">
        <v>136</v>
      </c>
      <c r="E58">
        <v>17.128463476070529</v>
      </c>
      <c r="F58">
        <v>17</v>
      </c>
      <c r="G58">
        <v>18</v>
      </c>
      <c r="H58">
        <v>1800</v>
      </c>
    </row>
    <row r="59" spans="1:8" x14ac:dyDescent="0.2">
      <c r="A59" s="6">
        <v>41089</v>
      </c>
      <c r="B59">
        <v>794</v>
      </c>
      <c r="C59" s="4">
        <f t="shared" si="0"/>
        <v>66166.666666666672</v>
      </c>
      <c r="D59">
        <v>-12</v>
      </c>
      <c r="E59">
        <v>-1.4888337468982631</v>
      </c>
      <c r="F59">
        <v>-1</v>
      </c>
      <c r="G59">
        <v>-17</v>
      </c>
      <c r="H59">
        <v>-106.25</v>
      </c>
    </row>
    <row r="60" spans="1:8" x14ac:dyDescent="0.2">
      <c r="A60" s="6">
        <v>40998</v>
      </c>
      <c r="B60">
        <v>806</v>
      </c>
      <c r="C60" s="4">
        <f t="shared" si="0"/>
        <v>67166.666666666672</v>
      </c>
      <c r="D60">
        <v>109</v>
      </c>
      <c r="E60">
        <v>15.638450502152081</v>
      </c>
      <c r="F60">
        <v>16</v>
      </c>
      <c r="G60">
        <v>2</v>
      </c>
      <c r="H60">
        <v>14.285714285714286</v>
      </c>
    </row>
    <row r="61" spans="1:8" x14ac:dyDescent="0.2">
      <c r="A61" s="6">
        <v>40907</v>
      </c>
      <c r="B61">
        <v>697</v>
      </c>
      <c r="C61" s="4">
        <f t="shared" si="0"/>
        <v>58083.333333333336</v>
      </c>
      <c r="D61">
        <v>87</v>
      </c>
      <c r="E61">
        <v>14.262295081967213</v>
      </c>
      <c r="F61">
        <v>14</v>
      </c>
      <c r="G61">
        <v>18</v>
      </c>
      <c r="H61">
        <v>450</v>
      </c>
    </row>
    <row r="62" spans="1:8" x14ac:dyDescent="0.2">
      <c r="A62" s="6">
        <v>40816</v>
      </c>
      <c r="B62">
        <v>610</v>
      </c>
      <c r="C62" s="4">
        <f t="shared" si="0"/>
        <v>50833.333333333336</v>
      </c>
      <c r="D62">
        <v>-26</v>
      </c>
      <c r="E62">
        <v>-4.0880503144654092</v>
      </c>
      <c r="F62">
        <v>-4</v>
      </c>
      <c r="G62">
        <v>-13</v>
      </c>
      <c r="H62">
        <v>-144.44444444444446</v>
      </c>
    </row>
    <row r="63" spans="1:8" x14ac:dyDescent="0.2">
      <c r="A63" s="6">
        <v>40724</v>
      </c>
      <c r="B63">
        <v>636</v>
      </c>
      <c r="C63" s="4">
        <f t="shared" si="0"/>
        <v>53000</v>
      </c>
      <c r="D63">
        <v>53</v>
      </c>
      <c r="E63">
        <v>9.0909090909090917</v>
      </c>
      <c r="F63">
        <v>9</v>
      </c>
      <c r="G63">
        <v>17</v>
      </c>
      <c r="H63">
        <v>212.5</v>
      </c>
    </row>
    <row r="64" spans="1:8" x14ac:dyDescent="0.2">
      <c r="A64" s="6">
        <v>40633</v>
      </c>
      <c r="B64">
        <v>583</v>
      </c>
      <c r="C64" s="4">
        <f t="shared" si="0"/>
        <v>48583.333333333336</v>
      </c>
      <c r="D64">
        <v>-49</v>
      </c>
      <c r="E64">
        <v>-7.7531645569620249</v>
      </c>
      <c r="F64">
        <v>-8</v>
      </c>
      <c r="G64">
        <v>-20</v>
      </c>
      <c r="H64">
        <v>-166.66666666666666</v>
      </c>
    </row>
    <row r="65" spans="1:8" x14ac:dyDescent="0.2">
      <c r="A65" s="6">
        <v>40543</v>
      </c>
      <c r="B65">
        <v>632</v>
      </c>
      <c r="C65" s="4">
        <f t="shared" si="0"/>
        <v>52666.666666666664</v>
      </c>
      <c r="D65">
        <v>69</v>
      </c>
      <c r="E65">
        <v>12.255772646536412</v>
      </c>
      <c r="F65">
        <v>12</v>
      </c>
      <c r="G65">
        <v>16</v>
      </c>
      <c r="H65">
        <v>400</v>
      </c>
    </row>
    <row r="66" spans="1:8" x14ac:dyDescent="0.2">
      <c r="A66" s="6">
        <v>40451</v>
      </c>
      <c r="B66">
        <v>563</v>
      </c>
      <c r="C66" s="4">
        <f t="shared" si="0"/>
        <v>46916.666666666664</v>
      </c>
      <c r="D66">
        <v>-24</v>
      </c>
      <c r="E66">
        <v>-4.0885860306643949</v>
      </c>
      <c r="F66">
        <v>-4</v>
      </c>
      <c r="G66">
        <v>11</v>
      </c>
      <c r="H66">
        <v>73.333333333333329</v>
      </c>
    </row>
    <row r="67" spans="1:8" x14ac:dyDescent="0.2">
      <c r="A67" s="6">
        <v>40359</v>
      </c>
      <c r="B67">
        <v>587</v>
      </c>
      <c r="C67" s="4">
        <f t="shared" si="0"/>
        <v>48916.666666666664</v>
      </c>
      <c r="D67">
        <v>-100</v>
      </c>
      <c r="E67">
        <v>-14.55604075691412</v>
      </c>
      <c r="F67">
        <v>-15</v>
      </c>
      <c r="G67">
        <v>-18</v>
      </c>
      <c r="H67">
        <v>-600</v>
      </c>
    </row>
    <row r="68" spans="1:8" x14ac:dyDescent="0.2">
      <c r="A68" s="6">
        <v>40268</v>
      </c>
      <c r="B68">
        <v>687</v>
      </c>
      <c r="C68" s="4">
        <f t="shared" si="0"/>
        <v>57250</v>
      </c>
      <c r="D68">
        <v>23</v>
      </c>
      <c r="E68">
        <v>3.463855421686747</v>
      </c>
      <c r="F68">
        <v>3</v>
      </c>
      <c r="G68">
        <v>-6</v>
      </c>
      <c r="H68">
        <v>-66.666666666666671</v>
      </c>
    </row>
    <row r="69" spans="1:8" x14ac:dyDescent="0.2">
      <c r="A69" s="6">
        <v>40178</v>
      </c>
      <c r="B69">
        <v>664</v>
      </c>
      <c r="C69" s="4">
        <f t="shared" si="0"/>
        <v>55333.333333333336</v>
      </c>
      <c r="D69">
        <v>55</v>
      </c>
      <c r="E69">
        <v>9.0311986863711002</v>
      </c>
      <c r="F69">
        <v>9</v>
      </c>
      <c r="G69">
        <v>8</v>
      </c>
      <c r="H69">
        <v>800</v>
      </c>
    </row>
    <row r="70" spans="1:8" x14ac:dyDescent="0.2">
      <c r="A70" s="6">
        <v>40086</v>
      </c>
      <c r="B70">
        <v>609</v>
      </c>
      <c r="C70" s="4">
        <f t="shared" si="0"/>
        <v>50750</v>
      </c>
      <c r="D70">
        <v>8</v>
      </c>
      <c r="E70">
        <v>1.3311148086522462</v>
      </c>
      <c r="F70">
        <v>1</v>
      </c>
      <c r="G70">
        <v>-16</v>
      </c>
      <c r="H70">
        <v>-94.117647058823536</v>
      </c>
    </row>
    <row r="71" spans="1:8" x14ac:dyDescent="0.2">
      <c r="A71" s="6">
        <v>39994</v>
      </c>
      <c r="B71">
        <v>601</v>
      </c>
      <c r="C71" s="4">
        <f t="shared" si="0"/>
        <v>50083.333333333336</v>
      </c>
      <c r="D71">
        <v>88</v>
      </c>
      <c r="E71">
        <v>17.153996101364523</v>
      </c>
      <c r="F71">
        <v>17</v>
      </c>
      <c r="G71">
        <v>24</v>
      </c>
      <c r="H71">
        <v>342.85714285714283</v>
      </c>
    </row>
    <row r="72" spans="1:8" x14ac:dyDescent="0.2">
      <c r="A72" s="6">
        <v>39903</v>
      </c>
      <c r="B72">
        <v>513</v>
      </c>
      <c r="C72" s="4">
        <f t="shared" ref="C72:C85" si="1">B72*1000/12</f>
        <v>42750</v>
      </c>
      <c r="D72">
        <v>-41</v>
      </c>
      <c r="E72">
        <v>-7.4007220216606502</v>
      </c>
      <c r="F72">
        <v>-7</v>
      </c>
      <c r="G72">
        <v>23</v>
      </c>
      <c r="H72">
        <v>76.666666666666671</v>
      </c>
    </row>
    <row r="73" spans="1:8" x14ac:dyDescent="0.2">
      <c r="A73" s="6">
        <v>39813</v>
      </c>
      <c r="B73">
        <v>554</v>
      </c>
      <c r="C73" s="4">
        <f t="shared" si="1"/>
        <v>46166.666666666664</v>
      </c>
      <c r="D73">
        <v>-243</v>
      </c>
      <c r="E73">
        <v>-30.489335006273524</v>
      </c>
      <c r="F73">
        <v>-30</v>
      </c>
      <c r="G73">
        <v>2</v>
      </c>
      <c r="H73">
        <v>6.25</v>
      </c>
    </row>
    <row r="74" spans="1:8" x14ac:dyDescent="0.2">
      <c r="A74" s="6">
        <v>39721</v>
      </c>
      <c r="B74">
        <v>797</v>
      </c>
      <c r="C74" s="4">
        <f t="shared" si="1"/>
        <v>66416.666666666672</v>
      </c>
      <c r="D74">
        <v>-383</v>
      </c>
      <c r="E74">
        <v>-32.457627118644069</v>
      </c>
      <c r="F74">
        <v>-32</v>
      </c>
      <c r="G74">
        <v>-54</v>
      </c>
      <c r="H74">
        <v>-245.45454545454547</v>
      </c>
    </row>
    <row r="75" spans="1:8" x14ac:dyDescent="0.2">
      <c r="A75" s="6">
        <v>39629</v>
      </c>
      <c r="B75">
        <v>1180</v>
      </c>
      <c r="C75" s="4">
        <f t="shared" si="1"/>
        <v>98333.333333333328</v>
      </c>
      <c r="D75">
        <v>213</v>
      </c>
      <c r="E75">
        <v>22.026887280248189</v>
      </c>
      <c r="F75">
        <v>22</v>
      </c>
      <c r="G75">
        <v>38</v>
      </c>
      <c r="H75">
        <v>237.5</v>
      </c>
    </row>
    <row r="76" spans="1:8" x14ac:dyDescent="0.2">
      <c r="A76" s="6">
        <v>39538</v>
      </c>
      <c r="B76">
        <v>967</v>
      </c>
      <c r="C76" s="4">
        <f t="shared" si="1"/>
        <v>80583.333333333328</v>
      </c>
      <c r="D76">
        <v>-182</v>
      </c>
      <c r="E76">
        <v>-15.839860748476937</v>
      </c>
      <c r="F76">
        <v>-16</v>
      </c>
      <c r="G76">
        <v>-7</v>
      </c>
      <c r="H76">
        <v>-77.777777777777771</v>
      </c>
    </row>
    <row r="77" spans="1:8" x14ac:dyDescent="0.2">
      <c r="A77" s="6">
        <v>39447</v>
      </c>
      <c r="B77">
        <v>1149</v>
      </c>
      <c r="C77" s="4">
        <f t="shared" si="1"/>
        <v>95750</v>
      </c>
      <c r="D77">
        <v>-112</v>
      </c>
      <c r="E77">
        <v>-8.8818398096748616</v>
      </c>
      <c r="F77">
        <v>-9</v>
      </c>
      <c r="G77">
        <v>1</v>
      </c>
      <c r="H77">
        <v>10</v>
      </c>
    </row>
    <row r="78" spans="1:8" x14ac:dyDescent="0.2">
      <c r="A78" s="6">
        <v>39353</v>
      </c>
      <c r="B78">
        <v>1261</v>
      </c>
      <c r="C78" s="4">
        <f t="shared" si="1"/>
        <v>105083.33333333333</v>
      </c>
      <c r="D78">
        <v>-146</v>
      </c>
      <c r="E78">
        <v>-10.376687988628287</v>
      </c>
      <c r="F78">
        <v>-10</v>
      </c>
      <c r="G78">
        <v>2</v>
      </c>
      <c r="H78">
        <v>16.666666666666668</v>
      </c>
    </row>
    <row r="79" spans="1:8" x14ac:dyDescent="0.2">
      <c r="A79" s="6">
        <v>39262</v>
      </c>
      <c r="B79">
        <v>1407</v>
      </c>
      <c r="C79" s="4">
        <f t="shared" si="1"/>
        <v>117250</v>
      </c>
      <c r="D79">
        <v>-189</v>
      </c>
      <c r="E79">
        <v>-11.842105263157896</v>
      </c>
      <c r="F79">
        <v>-12</v>
      </c>
      <c r="G79">
        <v>-9</v>
      </c>
      <c r="H79">
        <v>-300</v>
      </c>
    </row>
    <row r="80" spans="1:8" x14ac:dyDescent="0.2">
      <c r="A80" s="6">
        <v>39171</v>
      </c>
      <c r="B80">
        <v>1596</v>
      </c>
      <c r="C80" s="4">
        <f t="shared" si="1"/>
        <v>133000</v>
      </c>
      <c r="D80">
        <v>-42</v>
      </c>
      <c r="E80">
        <v>-2.5641025641025643</v>
      </c>
      <c r="F80">
        <v>-3</v>
      </c>
      <c r="G80">
        <v>-2</v>
      </c>
      <c r="H80">
        <v>-200</v>
      </c>
    </row>
    <row r="81" spans="1:8" x14ac:dyDescent="0.2">
      <c r="A81" s="6">
        <v>39080</v>
      </c>
      <c r="B81">
        <v>1638</v>
      </c>
      <c r="C81" s="4">
        <f t="shared" si="1"/>
        <v>136500</v>
      </c>
      <c r="D81">
        <v>-17</v>
      </c>
      <c r="E81">
        <v>-1.0271903323262841</v>
      </c>
      <c r="F81">
        <v>-1</v>
      </c>
      <c r="G81">
        <v>10</v>
      </c>
      <c r="H81">
        <v>90.909090909090907</v>
      </c>
    </row>
    <row r="82" spans="1:8" x14ac:dyDescent="0.2">
      <c r="A82" s="6">
        <v>38989</v>
      </c>
      <c r="B82">
        <v>1655</v>
      </c>
      <c r="C82" s="4">
        <f t="shared" si="1"/>
        <v>137916.66666666666</v>
      </c>
      <c r="D82">
        <v>-212</v>
      </c>
      <c r="E82">
        <v>-11.355115158007498</v>
      </c>
      <c r="F82">
        <v>-11</v>
      </c>
      <c r="G82">
        <v>1</v>
      </c>
      <c r="H82">
        <v>8.3333333333333339</v>
      </c>
    </row>
    <row r="83" spans="1:8" x14ac:dyDescent="0.2">
      <c r="A83" s="6">
        <v>38898</v>
      </c>
      <c r="B83">
        <v>1867</v>
      </c>
      <c r="C83" s="4">
        <f t="shared" si="1"/>
        <v>155583.33333333334</v>
      </c>
      <c r="D83">
        <v>-251</v>
      </c>
      <c r="E83">
        <v>-11.850802644003776</v>
      </c>
      <c r="F83">
        <v>-12</v>
      </c>
      <c r="G83">
        <v>-12</v>
      </c>
      <c r="H83" t="e">
        <v>#DIV/0!</v>
      </c>
    </row>
    <row r="84" spans="1:8" x14ac:dyDescent="0.2">
      <c r="A84" s="6">
        <v>38807</v>
      </c>
      <c r="B84">
        <v>2118</v>
      </c>
      <c r="C84" s="4">
        <f t="shared" si="1"/>
        <v>176500</v>
      </c>
      <c r="D84">
        <v>-2</v>
      </c>
      <c r="E84">
        <v>-9.4339622641509441E-2</v>
      </c>
      <c r="F84">
        <v>0</v>
      </c>
      <c r="G84">
        <v>6</v>
      </c>
      <c r="H84">
        <v>100</v>
      </c>
    </row>
    <row r="85" spans="1:8" x14ac:dyDescent="0.2">
      <c r="A85" s="6">
        <v>38716</v>
      </c>
      <c r="B85">
        <v>2120</v>
      </c>
      <c r="C85" s="4">
        <f t="shared" si="1"/>
        <v>176666.66666666666</v>
      </c>
      <c r="F85">
        <v>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BFCB-DDB5-41E9-BF25-CDF71E40DF6B}">
  <dimension ref="A1:I85"/>
  <sheetViews>
    <sheetView workbookViewId="0">
      <selection activeCell="C4" sqref="C4"/>
    </sheetView>
  </sheetViews>
  <sheetFormatPr baseColWidth="10" defaultColWidth="8.83203125" defaultRowHeight="15" outlineLevelCol="1" x14ac:dyDescent="0.2"/>
  <cols>
    <col min="1" max="1" width="13.5" customWidth="1"/>
    <col min="2" max="2" width="26.5" customWidth="1"/>
    <col min="3" max="3" width="23.33203125" customWidth="1"/>
    <col min="4" max="8" width="9.1640625" hidden="1" customWidth="1" outlineLevel="1"/>
    <col min="9" max="9" width="12.33203125" customWidth="1" collapsed="1"/>
  </cols>
  <sheetData>
    <row r="1" spans="1:9" x14ac:dyDescent="0.2">
      <c r="A1" t="s">
        <v>0</v>
      </c>
      <c r="B1" t="s">
        <v>51</v>
      </c>
    </row>
    <row r="2" spans="1:9" x14ac:dyDescent="0.2">
      <c r="A2" t="s">
        <v>2</v>
      </c>
      <c r="B2" s="5">
        <v>38716</v>
      </c>
      <c r="C2" s="5"/>
    </row>
    <row r="3" spans="1:9" x14ac:dyDescent="0.2">
      <c r="A3" t="s">
        <v>3</v>
      </c>
      <c r="B3" s="5">
        <v>45838</v>
      </c>
      <c r="C3" s="5"/>
    </row>
    <row r="4" spans="1:9" x14ac:dyDescent="0.2">
      <c r="A4" t="s">
        <v>4</v>
      </c>
      <c r="B4" t="s">
        <v>19</v>
      </c>
      <c r="C4" t="s">
        <v>50</v>
      </c>
    </row>
    <row r="6" spans="1:9" x14ac:dyDescent="0.2">
      <c r="A6" t="s">
        <v>6</v>
      </c>
      <c r="B6" t="s">
        <v>53</v>
      </c>
      <c r="C6" t="s">
        <v>52</v>
      </c>
      <c r="D6" t="s">
        <v>8</v>
      </c>
      <c r="E6" t="s">
        <v>9</v>
      </c>
      <c r="F6" t="s">
        <v>10</v>
      </c>
      <c r="G6" t="s">
        <v>8</v>
      </c>
      <c r="H6" t="s">
        <v>9</v>
      </c>
      <c r="I6" t="s">
        <v>14</v>
      </c>
    </row>
    <row r="7" spans="1:9" x14ac:dyDescent="0.2">
      <c r="A7" s="6">
        <v>45838</v>
      </c>
      <c r="B7">
        <v>866</v>
      </c>
      <c r="C7" s="4">
        <f>B7*1000/12</f>
        <v>72166.666666666672</v>
      </c>
      <c r="D7">
        <v>-106</v>
      </c>
      <c r="E7">
        <v>-10.905349794238683</v>
      </c>
      <c r="F7">
        <v>-11</v>
      </c>
      <c r="G7">
        <v>-9</v>
      </c>
      <c r="H7">
        <v>-450</v>
      </c>
    </row>
    <row r="8" spans="1:9" x14ac:dyDescent="0.2">
      <c r="A8" s="6">
        <v>45747</v>
      </c>
      <c r="B8">
        <v>972</v>
      </c>
      <c r="C8" s="4">
        <f t="shared" ref="C8:C71" si="0">B8*1000/12</f>
        <v>81000</v>
      </c>
      <c r="D8">
        <v>-17</v>
      </c>
      <c r="E8">
        <v>-1.7189079878665319</v>
      </c>
      <c r="F8">
        <v>-2</v>
      </c>
      <c r="G8">
        <v>-5</v>
      </c>
      <c r="H8">
        <v>-166.66666666666666</v>
      </c>
    </row>
    <row r="9" spans="1:9" x14ac:dyDescent="0.2">
      <c r="A9" s="6">
        <v>45657</v>
      </c>
      <c r="B9">
        <v>989</v>
      </c>
      <c r="C9" s="4">
        <f t="shared" si="0"/>
        <v>82416.666666666672</v>
      </c>
      <c r="D9">
        <v>27</v>
      </c>
      <c r="E9">
        <v>2.8066528066528065</v>
      </c>
      <c r="F9">
        <v>3</v>
      </c>
      <c r="G9">
        <v>1</v>
      </c>
      <c r="H9">
        <v>50</v>
      </c>
    </row>
    <row r="10" spans="1:9" x14ac:dyDescent="0.2">
      <c r="A10" s="6">
        <v>45565</v>
      </c>
      <c r="B10">
        <v>962</v>
      </c>
      <c r="C10" s="4">
        <f t="shared" si="0"/>
        <v>80166.666666666672</v>
      </c>
      <c r="D10">
        <v>17</v>
      </c>
      <c r="E10">
        <v>1.7989417989417988</v>
      </c>
      <c r="F10">
        <v>2</v>
      </c>
      <c r="G10">
        <v>6</v>
      </c>
      <c r="H10">
        <v>150</v>
      </c>
    </row>
    <row r="11" spans="1:9" x14ac:dyDescent="0.2">
      <c r="A11" s="6">
        <v>45471</v>
      </c>
      <c r="B11">
        <v>945</v>
      </c>
      <c r="C11" s="4">
        <f t="shared" si="0"/>
        <v>78750</v>
      </c>
      <c r="D11">
        <v>-41</v>
      </c>
      <c r="E11">
        <v>-4.1582150101419879</v>
      </c>
      <c r="F11">
        <v>-4</v>
      </c>
      <c r="G11">
        <v>-1</v>
      </c>
      <c r="H11">
        <v>-33.333333333333336</v>
      </c>
    </row>
    <row r="12" spans="1:9" x14ac:dyDescent="0.2">
      <c r="A12" s="6">
        <v>45380</v>
      </c>
      <c r="B12">
        <v>986</v>
      </c>
      <c r="C12" s="4">
        <f t="shared" si="0"/>
        <v>82166.666666666672</v>
      </c>
      <c r="D12">
        <v>-26</v>
      </c>
      <c r="E12">
        <v>-2.5691699604743081</v>
      </c>
      <c r="F12">
        <v>-3</v>
      </c>
      <c r="G12">
        <v>-6</v>
      </c>
      <c r="H12">
        <v>-200</v>
      </c>
    </row>
    <row r="13" spans="1:9" x14ac:dyDescent="0.2">
      <c r="A13" s="6">
        <v>45289</v>
      </c>
      <c r="B13">
        <v>1012</v>
      </c>
      <c r="C13" s="4">
        <f t="shared" si="0"/>
        <v>84333.333333333328</v>
      </c>
      <c r="D13">
        <v>27</v>
      </c>
      <c r="E13">
        <v>2.7411167512690353</v>
      </c>
      <c r="F13">
        <v>3</v>
      </c>
      <c r="G13">
        <v>0</v>
      </c>
      <c r="H13">
        <v>0</v>
      </c>
    </row>
    <row r="14" spans="1:9" x14ac:dyDescent="0.2">
      <c r="A14" s="6">
        <v>45198</v>
      </c>
      <c r="B14">
        <v>985</v>
      </c>
      <c r="C14" s="4">
        <f t="shared" si="0"/>
        <v>82083.333333333328</v>
      </c>
      <c r="D14">
        <v>32</v>
      </c>
      <c r="E14">
        <v>3.3578174186778593</v>
      </c>
      <c r="F14">
        <v>3</v>
      </c>
      <c r="G14">
        <v>-10</v>
      </c>
      <c r="H14">
        <v>-76.92307692307692</v>
      </c>
    </row>
    <row r="15" spans="1:9" x14ac:dyDescent="0.2">
      <c r="A15" s="6">
        <v>45107</v>
      </c>
      <c r="B15">
        <v>953</v>
      </c>
      <c r="C15" s="4">
        <f t="shared" si="0"/>
        <v>79416.666666666672</v>
      </c>
      <c r="D15">
        <v>109</v>
      </c>
      <c r="E15">
        <v>12.914691943127963</v>
      </c>
      <c r="F15">
        <v>13</v>
      </c>
      <c r="G15">
        <v>-1</v>
      </c>
      <c r="H15">
        <v>-7.1428571428571432</v>
      </c>
    </row>
    <row r="16" spans="1:9" x14ac:dyDescent="0.2">
      <c r="A16" s="6">
        <v>45016</v>
      </c>
      <c r="B16">
        <v>844</v>
      </c>
      <c r="C16" s="4">
        <f t="shared" si="0"/>
        <v>70333.333333333328</v>
      </c>
      <c r="D16">
        <v>102</v>
      </c>
      <c r="E16">
        <v>13.746630727762803</v>
      </c>
      <c r="F16">
        <v>14</v>
      </c>
      <c r="G16">
        <v>28</v>
      </c>
      <c r="H16">
        <v>200</v>
      </c>
    </row>
    <row r="17" spans="1:8" x14ac:dyDescent="0.2">
      <c r="A17" s="6">
        <v>44925</v>
      </c>
      <c r="B17">
        <v>742</v>
      </c>
      <c r="C17" s="4">
        <f t="shared" si="0"/>
        <v>61833.333333333336</v>
      </c>
      <c r="D17">
        <v>-120</v>
      </c>
      <c r="E17">
        <v>-13.921113689095128</v>
      </c>
      <c r="F17">
        <v>-14</v>
      </c>
      <c r="G17">
        <v>-5</v>
      </c>
      <c r="H17">
        <v>-55.555555555555557</v>
      </c>
    </row>
    <row r="18" spans="1:8" x14ac:dyDescent="0.2">
      <c r="A18" s="6">
        <v>44834</v>
      </c>
      <c r="B18">
        <v>862</v>
      </c>
      <c r="C18" s="4">
        <f t="shared" si="0"/>
        <v>71833.333333333328</v>
      </c>
      <c r="D18">
        <v>-88</v>
      </c>
      <c r="E18">
        <v>-9.2631578947368425</v>
      </c>
      <c r="F18">
        <v>-9</v>
      </c>
      <c r="G18">
        <v>7</v>
      </c>
      <c r="H18">
        <v>43.75</v>
      </c>
    </row>
    <row r="19" spans="1:8" x14ac:dyDescent="0.2">
      <c r="A19" s="6">
        <v>44742</v>
      </c>
      <c r="B19">
        <v>950</v>
      </c>
      <c r="C19" s="4">
        <f t="shared" si="0"/>
        <v>79166.666666666672</v>
      </c>
      <c r="D19">
        <v>-186</v>
      </c>
      <c r="E19">
        <v>-16.37323943661972</v>
      </c>
      <c r="F19">
        <v>-16</v>
      </c>
      <c r="G19">
        <v>-15</v>
      </c>
      <c r="H19">
        <v>-1500</v>
      </c>
    </row>
    <row r="20" spans="1:8" x14ac:dyDescent="0.2">
      <c r="A20" s="6">
        <v>44651</v>
      </c>
      <c r="B20">
        <v>1136</v>
      </c>
      <c r="C20" s="4">
        <f t="shared" si="0"/>
        <v>94666.666666666672</v>
      </c>
      <c r="D20">
        <v>-9</v>
      </c>
      <c r="E20">
        <v>-0.78602620087336239</v>
      </c>
      <c r="F20">
        <v>-1</v>
      </c>
      <c r="G20">
        <v>-9</v>
      </c>
      <c r="H20">
        <v>-112.5</v>
      </c>
    </row>
    <row r="21" spans="1:8" x14ac:dyDescent="0.2">
      <c r="A21" s="6">
        <v>44561</v>
      </c>
      <c r="B21">
        <v>1145</v>
      </c>
      <c r="C21" s="4">
        <f t="shared" si="0"/>
        <v>95416.666666666672</v>
      </c>
      <c r="D21">
        <v>85</v>
      </c>
      <c r="E21">
        <v>8.0188679245283012</v>
      </c>
      <c r="F21">
        <v>8</v>
      </c>
      <c r="G21">
        <v>10</v>
      </c>
      <c r="H21">
        <v>500</v>
      </c>
    </row>
    <row r="22" spans="1:8" x14ac:dyDescent="0.2">
      <c r="A22" s="6">
        <v>44469</v>
      </c>
      <c r="B22">
        <v>1060</v>
      </c>
      <c r="C22" s="4">
        <f t="shared" si="0"/>
        <v>88333.333333333328</v>
      </c>
      <c r="D22">
        <v>-26</v>
      </c>
      <c r="E22">
        <v>-2.3941068139963169</v>
      </c>
      <c r="F22">
        <v>-2</v>
      </c>
      <c r="G22">
        <v>5</v>
      </c>
      <c r="H22">
        <v>71.428571428571431</v>
      </c>
    </row>
    <row r="23" spans="1:8" x14ac:dyDescent="0.2">
      <c r="A23" s="6">
        <v>44377</v>
      </c>
      <c r="B23">
        <v>1086</v>
      </c>
      <c r="C23" s="4">
        <f t="shared" si="0"/>
        <v>90500</v>
      </c>
      <c r="D23">
        <v>-86</v>
      </c>
      <c r="E23">
        <v>-7.337883959044369</v>
      </c>
      <c r="F23">
        <v>-7</v>
      </c>
      <c r="G23">
        <v>-2</v>
      </c>
      <c r="H23">
        <v>-40</v>
      </c>
    </row>
    <row r="24" spans="1:8" x14ac:dyDescent="0.2">
      <c r="A24" s="6">
        <v>44286</v>
      </c>
      <c r="B24">
        <v>1172</v>
      </c>
      <c r="C24" s="4">
        <f t="shared" si="0"/>
        <v>97666.666666666672</v>
      </c>
      <c r="D24">
        <v>-64</v>
      </c>
      <c r="E24">
        <v>-5.1779935275080904</v>
      </c>
      <c r="F24">
        <v>-5</v>
      </c>
      <c r="G24">
        <v>-13</v>
      </c>
      <c r="H24">
        <v>-162.5</v>
      </c>
    </row>
    <row r="25" spans="1:8" x14ac:dyDescent="0.2">
      <c r="A25" s="6">
        <v>44196</v>
      </c>
      <c r="B25">
        <v>1236</v>
      </c>
      <c r="C25" s="4">
        <f t="shared" si="0"/>
        <v>103000</v>
      </c>
      <c r="D25">
        <v>94</v>
      </c>
      <c r="E25">
        <v>8.2311733800350257</v>
      </c>
      <c r="F25">
        <v>8</v>
      </c>
      <c r="G25">
        <v>-24</v>
      </c>
      <c r="H25">
        <v>-75</v>
      </c>
    </row>
    <row r="26" spans="1:8" x14ac:dyDescent="0.2">
      <c r="A26" s="6">
        <v>44104</v>
      </c>
      <c r="B26">
        <v>1142</v>
      </c>
      <c r="C26" s="4">
        <f t="shared" si="0"/>
        <v>95166.666666666672</v>
      </c>
      <c r="D26">
        <v>277</v>
      </c>
      <c r="E26">
        <v>32.02312138728324</v>
      </c>
      <c r="F26">
        <v>32</v>
      </c>
      <c r="G26">
        <v>33</v>
      </c>
      <c r="H26">
        <v>3300</v>
      </c>
    </row>
    <row r="27" spans="1:8" x14ac:dyDescent="0.2">
      <c r="A27" s="6">
        <v>44012</v>
      </c>
      <c r="B27">
        <v>865</v>
      </c>
      <c r="C27" s="4">
        <f t="shared" si="0"/>
        <v>72083.333333333328</v>
      </c>
      <c r="D27">
        <v>-9</v>
      </c>
      <c r="E27">
        <v>-1.0297482837528604</v>
      </c>
      <c r="F27">
        <v>-1</v>
      </c>
      <c r="G27">
        <v>5</v>
      </c>
      <c r="H27">
        <v>83.333333333333329</v>
      </c>
    </row>
    <row r="28" spans="1:8" x14ac:dyDescent="0.2">
      <c r="A28" s="6">
        <v>43921</v>
      </c>
      <c r="B28">
        <v>874</v>
      </c>
      <c r="C28" s="4">
        <f t="shared" si="0"/>
        <v>72833.333333333328</v>
      </c>
      <c r="D28">
        <v>-60</v>
      </c>
      <c r="E28">
        <v>-6.4239828693790146</v>
      </c>
      <c r="F28">
        <v>-6</v>
      </c>
      <c r="G28">
        <v>-9</v>
      </c>
      <c r="H28">
        <v>-300</v>
      </c>
    </row>
    <row r="29" spans="1:8" x14ac:dyDescent="0.2">
      <c r="A29" s="6">
        <v>43830</v>
      </c>
      <c r="B29">
        <v>934</v>
      </c>
      <c r="C29" s="4">
        <f t="shared" si="0"/>
        <v>77833.333333333328</v>
      </c>
      <c r="D29">
        <v>30</v>
      </c>
      <c r="E29">
        <v>3.3185840707964602</v>
      </c>
      <c r="F29">
        <v>3</v>
      </c>
      <c r="G29">
        <v>-4</v>
      </c>
      <c r="H29">
        <v>-57.142857142857146</v>
      </c>
    </row>
    <row r="30" spans="1:8" x14ac:dyDescent="0.2">
      <c r="A30" s="6">
        <v>43738</v>
      </c>
      <c r="B30">
        <v>904</v>
      </c>
      <c r="C30" s="4">
        <f t="shared" si="0"/>
        <v>75333.333333333328</v>
      </c>
      <c r="D30">
        <v>56</v>
      </c>
      <c r="E30">
        <v>6.6037735849056602</v>
      </c>
      <c r="F30">
        <v>7</v>
      </c>
      <c r="G30">
        <v>2</v>
      </c>
      <c r="H30">
        <v>40</v>
      </c>
    </row>
    <row r="31" spans="1:8" x14ac:dyDescent="0.2">
      <c r="A31" s="6">
        <v>43644</v>
      </c>
      <c r="B31">
        <v>848</v>
      </c>
      <c r="C31" s="4">
        <f t="shared" si="0"/>
        <v>70666.666666666672</v>
      </c>
      <c r="D31">
        <v>39</v>
      </c>
      <c r="E31">
        <v>4.8207663782447465</v>
      </c>
      <c r="F31">
        <v>5</v>
      </c>
      <c r="G31">
        <v>5</v>
      </c>
      <c r="H31" t="e">
        <v>#DIV/0!</v>
      </c>
    </row>
    <row r="32" spans="1:8" x14ac:dyDescent="0.2">
      <c r="A32" s="6">
        <v>43553</v>
      </c>
      <c r="B32">
        <v>809</v>
      </c>
      <c r="C32" s="4">
        <f t="shared" si="0"/>
        <v>67416.666666666672</v>
      </c>
      <c r="D32">
        <v>-3</v>
      </c>
      <c r="E32">
        <v>-0.36945812807881773</v>
      </c>
      <c r="F32">
        <v>0</v>
      </c>
      <c r="G32">
        <v>5</v>
      </c>
      <c r="H32">
        <v>100</v>
      </c>
    </row>
    <row r="33" spans="1:8" x14ac:dyDescent="0.2">
      <c r="A33" s="6">
        <v>43465</v>
      </c>
      <c r="B33">
        <v>812</v>
      </c>
      <c r="C33" s="4">
        <f t="shared" si="0"/>
        <v>67666.666666666672</v>
      </c>
      <c r="D33">
        <v>-46</v>
      </c>
      <c r="E33">
        <v>-5.3613053613053614</v>
      </c>
      <c r="F33">
        <v>-5</v>
      </c>
      <c r="G33">
        <v>-4</v>
      </c>
      <c r="H33">
        <v>-400</v>
      </c>
    </row>
    <row r="34" spans="1:8" x14ac:dyDescent="0.2">
      <c r="A34" s="6">
        <v>43371</v>
      </c>
      <c r="B34">
        <v>858</v>
      </c>
      <c r="C34" s="4">
        <f t="shared" si="0"/>
        <v>71500</v>
      </c>
      <c r="D34">
        <v>-6</v>
      </c>
      <c r="E34">
        <v>-0.69444444444444442</v>
      </c>
      <c r="F34">
        <v>-1</v>
      </c>
      <c r="G34">
        <v>-3</v>
      </c>
      <c r="H34">
        <v>-150</v>
      </c>
    </row>
    <row r="35" spans="1:8" x14ac:dyDescent="0.2">
      <c r="A35" s="6">
        <v>43280</v>
      </c>
      <c r="B35">
        <v>864</v>
      </c>
      <c r="C35" s="4">
        <f t="shared" si="0"/>
        <v>72000</v>
      </c>
      <c r="D35">
        <v>17</v>
      </c>
      <c r="E35">
        <v>2.0070838252656436</v>
      </c>
      <c r="F35">
        <v>2</v>
      </c>
      <c r="G35">
        <v>4</v>
      </c>
      <c r="H35">
        <v>200</v>
      </c>
    </row>
    <row r="36" spans="1:8" x14ac:dyDescent="0.2">
      <c r="A36" s="6">
        <v>43189</v>
      </c>
      <c r="B36">
        <v>847</v>
      </c>
      <c r="C36" s="4">
        <f t="shared" si="0"/>
        <v>70583.333333333328</v>
      </c>
      <c r="D36">
        <v>-15</v>
      </c>
      <c r="E36">
        <v>-1.740139211136891</v>
      </c>
      <c r="F36">
        <v>-2</v>
      </c>
      <c r="G36">
        <v>-6</v>
      </c>
      <c r="H36">
        <v>-150</v>
      </c>
    </row>
    <row r="37" spans="1:8" x14ac:dyDescent="0.2">
      <c r="A37" s="6">
        <v>43098</v>
      </c>
      <c r="B37">
        <v>862</v>
      </c>
      <c r="C37" s="4">
        <f t="shared" si="0"/>
        <v>71833.333333333328</v>
      </c>
      <c r="D37">
        <v>32</v>
      </c>
      <c r="E37">
        <v>3.8554216867469879</v>
      </c>
      <c r="F37">
        <v>4</v>
      </c>
      <c r="G37">
        <v>3</v>
      </c>
      <c r="H37">
        <v>300</v>
      </c>
    </row>
    <row r="38" spans="1:8" x14ac:dyDescent="0.2">
      <c r="A38" s="6">
        <v>43007</v>
      </c>
      <c r="B38">
        <v>830</v>
      </c>
      <c r="C38" s="4">
        <f t="shared" si="0"/>
        <v>69166.666666666672</v>
      </c>
      <c r="D38">
        <v>8</v>
      </c>
      <c r="E38">
        <v>0.97323600973236013</v>
      </c>
      <c r="F38">
        <v>1</v>
      </c>
      <c r="G38">
        <v>1</v>
      </c>
      <c r="H38" t="e">
        <v>#DIV/0!</v>
      </c>
    </row>
    <row r="39" spans="1:8" x14ac:dyDescent="0.2">
      <c r="A39" s="6">
        <v>42916</v>
      </c>
      <c r="B39">
        <v>822</v>
      </c>
      <c r="C39" s="4">
        <f t="shared" si="0"/>
        <v>68500</v>
      </c>
      <c r="D39">
        <v>-4</v>
      </c>
      <c r="E39">
        <v>-0.48426150121065376</v>
      </c>
      <c r="F39">
        <v>0</v>
      </c>
      <c r="G39">
        <v>-2</v>
      </c>
      <c r="H39">
        <v>-100</v>
      </c>
    </row>
    <row r="40" spans="1:8" x14ac:dyDescent="0.2">
      <c r="A40" s="6">
        <v>42825</v>
      </c>
      <c r="B40">
        <v>826</v>
      </c>
      <c r="C40" s="4">
        <f t="shared" si="0"/>
        <v>68833.333333333328</v>
      </c>
      <c r="D40">
        <v>17</v>
      </c>
      <c r="E40">
        <v>2.1013597033374536</v>
      </c>
      <c r="F40">
        <v>2</v>
      </c>
      <c r="G40">
        <v>-6</v>
      </c>
      <c r="H40">
        <v>-75</v>
      </c>
    </row>
    <row r="41" spans="1:8" x14ac:dyDescent="0.2">
      <c r="A41" s="6">
        <v>42734</v>
      </c>
      <c r="B41">
        <v>809</v>
      </c>
      <c r="C41" s="4">
        <f t="shared" si="0"/>
        <v>67416.666666666672</v>
      </c>
      <c r="D41">
        <v>57</v>
      </c>
      <c r="E41">
        <v>7.5797872340425529</v>
      </c>
      <c r="F41">
        <v>8</v>
      </c>
      <c r="G41">
        <v>8</v>
      </c>
      <c r="H41" t="e">
        <v>#DIV/0!</v>
      </c>
    </row>
    <row r="42" spans="1:8" x14ac:dyDescent="0.2">
      <c r="A42" s="6">
        <v>42643</v>
      </c>
      <c r="B42">
        <v>752</v>
      </c>
      <c r="C42" s="4">
        <f t="shared" si="0"/>
        <v>62666.666666666664</v>
      </c>
      <c r="D42">
        <v>0</v>
      </c>
      <c r="E42">
        <v>0</v>
      </c>
      <c r="F42">
        <v>0</v>
      </c>
      <c r="G42">
        <v>-2</v>
      </c>
      <c r="H42">
        <v>-100</v>
      </c>
    </row>
    <row r="43" spans="1:8" x14ac:dyDescent="0.2">
      <c r="A43" s="6">
        <v>42551</v>
      </c>
      <c r="B43">
        <v>752</v>
      </c>
      <c r="C43" s="4">
        <f t="shared" si="0"/>
        <v>62666.666666666664</v>
      </c>
      <c r="D43">
        <v>15</v>
      </c>
      <c r="E43">
        <v>2.0352781546811398</v>
      </c>
      <c r="F43">
        <v>2</v>
      </c>
      <c r="G43">
        <v>-1</v>
      </c>
      <c r="H43">
        <v>-33.333333333333336</v>
      </c>
    </row>
    <row r="44" spans="1:8" x14ac:dyDescent="0.2">
      <c r="A44" s="6">
        <v>42460</v>
      </c>
      <c r="B44">
        <v>737</v>
      </c>
      <c r="C44" s="4">
        <f t="shared" si="0"/>
        <v>61416.666666666664</v>
      </c>
      <c r="D44">
        <v>18</v>
      </c>
      <c r="E44">
        <v>2.5034770514603615</v>
      </c>
      <c r="F44">
        <v>3</v>
      </c>
      <c r="G44">
        <v>2</v>
      </c>
      <c r="H44">
        <v>200</v>
      </c>
    </row>
    <row r="45" spans="1:8" x14ac:dyDescent="0.2">
      <c r="A45" s="6">
        <v>42369</v>
      </c>
      <c r="B45">
        <v>719</v>
      </c>
      <c r="C45" s="4">
        <f t="shared" si="0"/>
        <v>59916.666666666664</v>
      </c>
      <c r="D45">
        <v>8</v>
      </c>
      <c r="E45">
        <v>1.1251758087201125</v>
      </c>
      <c r="F45">
        <v>1</v>
      </c>
      <c r="G45">
        <v>0</v>
      </c>
      <c r="H45">
        <v>0</v>
      </c>
    </row>
    <row r="46" spans="1:8" x14ac:dyDescent="0.2">
      <c r="A46" s="6">
        <v>42277</v>
      </c>
      <c r="B46">
        <v>711</v>
      </c>
      <c r="C46" s="4">
        <f t="shared" si="0"/>
        <v>59250</v>
      </c>
      <c r="D46">
        <v>5</v>
      </c>
      <c r="E46">
        <v>0.70821529745042489</v>
      </c>
      <c r="F46">
        <v>1</v>
      </c>
      <c r="G46">
        <v>-6</v>
      </c>
      <c r="H46">
        <v>-85.714285714285708</v>
      </c>
    </row>
    <row r="47" spans="1:8" x14ac:dyDescent="0.2">
      <c r="A47" s="6">
        <v>42185</v>
      </c>
      <c r="B47">
        <v>706</v>
      </c>
      <c r="C47" s="4">
        <f t="shared" si="0"/>
        <v>58833.333333333336</v>
      </c>
      <c r="D47">
        <v>48</v>
      </c>
      <c r="E47">
        <v>7.2948328267477205</v>
      </c>
      <c r="F47">
        <v>7</v>
      </c>
      <c r="G47">
        <v>9</v>
      </c>
      <c r="H47">
        <v>450</v>
      </c>
    </row>
    <row r="48" spans="1:8" x14ac:dyDescent="0.2">
      <c r="A48" s="6">
        <v>42094</v>
      </c>
      <c r="B48">
        <v>658</v>
      </c>
      <c r="C48" s="4">
        <f t="shared" si="0"/>
        <v>54833.333333333336</v>
      </c>
      <c r="D48">
        <v>-12</v>
      </c>
      <c r="E48">
        <v>-1.791044776119403</v>
      </c>
      <c r="F48">
        <v>-2</v>
      </c>
      <c r="G48">
        <v>-3</v>
      </c>
      <c r="H48">
        <v>-300</v>
      </c>
    </row>
    <row r="49" spans="1:8" x14ac:dyDescent="0.2">
      <c r="A49" s="6">
        <v>42004</v>
      </c>
      <c r="B49">
        <v>670</v>
      </c>
      <c r="C49" s="4">
        <f t="shared" si="0"/>
        <v>55833.333333333336</v>
      </c>
      <c r="D49">
        <v>8</v>
      </c>
      <c r="E49">
        <v>1.2084592145015105</v>
      </c>
      <c r="F49">
        <v>1</v>
      </c>
      <c r="G49">
        <v>-1</v>
      </c>
      <c r="H49">
        <v>-50</v>
      </c>
    </row>
    <row r="50" spans="1:8" x14ac:dyDescent="0.2">
      <c r="A50" s="6">
        <v>41912</v>
      </c>
      <c r="B50">
        <v>662</v>
      </c>
      <c r="C50" s="4">
        <f t="shared" si="0"/>
        <v>55166.666666666664</v>
      </c>
      <c r="D50">
        <v>13</v>
      </c>
      <c r="E50">
        <v>2.0030816640986133</v>
      </c>
      <c r="F50">
        <v>2</v>
      </c>
      <c r="G50">
        <v>-2</v>
      </c>
      <c r="H50">
        <v>-50</v>
      </c>
    </row>
    <row r="51" spans="1:8" x14ac:dyDescent="0.2">
      <c r="A51" s="6">
        <v>41820</v>
      </c>
      <c r="B51">
        <v>649</v>
      </c>
      <c r="C51" s="4">
        <f t="shared" si="0"/>
        <v>54083.333333333336</v>
      </c>
      <c r="D51">
        <v>26</v>
      </c>
      <c r="E51">
        <v>4.173354735152488</v>
      </c>
      <c r="F51">
        <v>4</v>
      </c>
      <c r="G51">
        <v>1</v>
      </c>
      <c r="H51">
        <v>33.333333333333336</v>
      </c>
    </row>
    <row r="52" spans="1:8" x14ac:dyDescent="0.2">
      <c r="A52" s="6">
        <v>41729</v>
      </c>
      <c r="B52">
        <v>623</v>
      </c>
      <c r="C52" s="4">
        <f t="shared" si="0"/>
        <v>51916.666666666664</v>
      </c>
      <c r="D52">
        <v>21</v>
      </c>
      <c r="E52">
        <v>3.4883720930232558</v>
      </c>
      <c r="F52">
        <v>3</v>
      </c>
      <c r="G52">
        <v>7</v>
      </c>
      <c r="H52">
        <v>175</v>
      </c>
    </row>
    <row r="53" spans="1:8" x14ac:dyDescent="0.2">
      <c r="A53" s="6">
        <v>41639</v>
      </c>
      <c r="B53">
        <v>602</v>
      </c>
      <c r="C53" s="4">
        <f t="shared" si="0"/>
        <v>50166.666666666664</v>
      </c>
      <c r="D53">
        <v>-23</v>
      </c>
      <c r="E53">
        <v>-3.68</v>
      </c>
      <c r="F53">
        <v>-4</v>
      </c>
      <c r="G53">
        <v>-4</v>
      </c>
      <c r="H53" t="e">
        <v>#DIV/0!</v>
      </c>
    </row>
    <row r="54" spans="1:8" x14ac:dyDescent="0.2">
      <c r="A54" s="6">
        <v>41547</v>
      </c>
      <c r="B54">
        <v>625</v>
      </c>
      <c r="C54" s="4">
        <f t="shared" si="0"/>
        <v>52083.333333333336</v>
      </c>
      <c r="D54">
        <v>-3</v>
      </c>
      <c r="E54">
        <v>-0.47770700636942676</v>
      </c>
      <c r="F54">
        <v>0</v>
      </c>
      <c r="G54">
        <v>-3</v>
      </c>
      <c r="H54">
        <v>-100</v>
      </c>
    </row>
    <row r="55" spans="1:8" x14ac:dyDescent="0.2">
      <c r="A55" s="6">
        <v>41453</v>
      </c>
      <c r="B55">
        <v>628</v>
      </c>
      <c r="C55" s="4">
        <f t="shared" si="0"/>
        <v>52333.333333333336</v>
      </c>
      <c r="D55">
        <v>18</v>
      </c>
      <c r="E55">
        <v>2.9508196721311477</v>
      </c>
      <c r="F55">
        <v>3</v>
      </c>
      <c r="G55">
        <v>-2</v>
      </c>
      <c r="H55">
        <v>-40</v>
      </c>
    </row>
    <row r="56" spans="1:8" x14ac:dyDescent="0.2">
      <c r="A56" s="6">
        <v>41362</v>
      </c>
      <c r="B56">
        <v>610</v>
      </c>
      <c r="C56" s="4">
        <f t="shared" si="0"/>
        <v>50833.333333333336</v>
      </c>
      <c r="D56">
        <v>28</v>
      </c>
      <c r="E56">
        <v>4.8109965635738829</v>
      </c>
      <c r="F56">
        <v>5</v>
      </c>
      <c r="G56">
        <v>1</v>
      </c>
      <c r="H56">
        <v>25</v>
      </c>
    </row>
    <row r="57" spans="1:8" x14ac:dyDescent="0.2">
      <c r="A57" s="6">
        <v>41274</v>
      </c>
      <c r="B57">
        <v>582</v>
      </c>
      <c r="C57" s="4">
        <f t="shared" si="0"/>
        <v>48500</v>
      </c>
      <c r="D57">
        <v>20</v>
      </c>
      <c r="E57">
        <v>3.5587188612099645</v>
      </c>
      <c r="F57">
        <v>4</v>
      </c>
      <c r="G57">
        <v>-8</v>
      </c>
      <c r="H57">
        <v>-66.666666666666671</v>
      </c>
    </row>
    <row r="58" spans="1:8" x14ac:dyDescent="0.2">
      <c r="A58" s="6">
        <v>41180</v>
      </c>
      <c r="B58">
        <v>562</v>
      </c>
      <c r="C58" s="4">
        <f t="shared" si="0"/>
        <v>46833.333333333336</v>
      </c>
      <c r="D58">
        <v>61</v>
      </c>
      <c r="E58">
        <v>12.17564870259481</v>
      </c>
      <c r="F58">
        <v>12</v>
      </c>
      <c r="G58">
        <v>8</v>
      </c>
      <c r="H58">
        <v>200</v>
      </c>
    </row>
    <row r="59" spans="1:8" x14ac:dyDescent="0.2">
      <c r="A59" s="6">
        <v>41089</v>
      </c>
      <c r="B59">
        <v>501</v>
      </c>
      <c r="C59" s="4">
        <f t="shared" si="0"/>
        <v>41750</v>
      </c>
      <c r="D59">
        <v>19</v>
      </c>
      <c r="E59">
        <v>3.9419087136929463</v>
      </c>
      <c r="F59">
        <v>4</v>
      </c>
      <c r="G59">
        <v>-1</v>
      </c>
      <c r="H59">
        <v>-20</v>
      </c>
    </row>
    <row r="60" spans="1:8" x14ac:dyDescent="0.2">
      <c r="A60" s="6">
        <v>40998</v>
      </c>
      <c r="B60">
        <v>482</v>
      </c>
      <c r="C60" s="4">
        <f t="shared" si="0"/>
        <v>40166.666666666664</v>
      </c>
      <c r="D60">
        <v>24</v>
      </c>
      <c r="E60">
        <v>5.2401746724890828</v>
      </c>
      <c r="F60">
        <v>5</v>
      </c>
      <c r="G60">
        <v>-3</v>
      </c>
      <c r="H60">
        <v>-37.5</v>
      </c>
    </row>
    <row r="61" spans="1:8" x14ac:dyDescent="0.2">
      <c r="A61" s="6">
        <v>40907</v>
      </c>
      <c r="B61">
        <v>458</v>
      </c>
      <c r="C61" s="4">
        <f t="shared" si="0"/>
        <v>38166.666666666664</v>
      </c>
      <c r="D61">
        <v>33</v>
      </c>
      <c r="E61">
        <v>7.7647058823529411</v>
      </c>
      <c r="F61">
        <v>8</v>
      </c>
      <c r="G61">
        <v>5</v>
      </c>
      <c r="H61">
        <v>166.66666666666666</v>
      </c>
    </row>
    <row r="62" spans="1:8" x14ac:dyDescent="0.2">
      <c r="A62" s="6">
        <v>40816</v>
      </c>
      <c r="B62">
        <v>425</v>
      </c>
      <c r="C62" s="4">
        <f t="shared" si="0"/>
        <v>35416.666666666664</v>
      </c>
      <c r="D62">
        <v>12</v>
      </c>
      <c r="E62">
        <v>2.9055690072639226</v>
      </c>
      <c r="F62">
        <v>3</v>
      </c>
      <c r="G62">
        <v>-1</v>
      </c>
      <c r="H62">
        <v>-25</v>
      </c>
    </row>
    <row r="63" spans="1:8" x14ac:dyDescent="0.2">
      <c r="A63" s="6">
        <v>40724</v>
      </c>
      <c r="B63">
        <v>413</v>
      </c>
      <c r="C63" s="4">
        <f t="shared" si="0"/>
        <v>34416.666666666664</v>
      </c>
      <c r="D63">
        <v>14</v>
      </c>
      <c r="E63">
        <v>3.5087719298245612</v>
      </c>
      <c r="F63">
        <v>4</v>
      </c>
      <c r="G63">
        <v>15</v>
      </c>
      <c r="H63">
        <v>136.36363636363637</v>
      </c>
    </row>
    <row r="64" spans="1:8" x14ac:dyDescent="0.2">
      <c r="A64" s="6">
        <v>40633</v>
      </c>
      <c r="B64">
        <v>399</v>
      </c>
      <c r="C64" s="4">
        <f t="shared" si="0"/>
        <v>33250</v>
      </c>
      <c r="D64">
        <v>-48</v>
      </c>
      <c r="E64">
        <v>-10.738255033557047</v>
      </c>
      <c r="F64">
        <v>-11</v>
      </c>
      <c r="G64">
        <v>-22</v>
      </c>
      <c r="H64">
        <v>-200</v>
      </c>
    </row>
    <row r="65" spans="1:8" x14ac:dyDescent="0.2">
      <c r="A65" s="6">
        <v>40543</v>
      </c>
      <c r="B65">
        <v>447</v>
      </c>
      <c r="C65" s="4">
        <f t="shared" si="0"/>
        <v>37250</v>
      </c>
      <c r="D65">
        <v>43</v>
      </c>
      <c r="E65">
        <v>10.643564356435643</v>
      </c>
      <c r="F65">
        <v>11</v>
      </c>
      <c r="G65">
        <v>16</v>
      </c>
      <c r="H65">
        <v>320</v>
      </c>
    </row>
    <row r="66" spans="1:8" x14ac:dyDescent="0.2">
      <c r="A66" s="6">
        <v>40451</v>
      </c>
      <c r="B66">
        <v>404</v>
      </c>
      <c r="C66" s="4">
        <f t="shared" si="0"/>
        <v>33666.666666666664</v>
      </c>
      <c r="D66">
        <v>-21</v>
      </c>
      <c r="E66">
        <v>-4.9411764705882355</v>
      </c>
      <c r="F66">
        <v>-5</v>
      </c>
      <c r="G66">
        <v>16</v>
      </c>
      <c r="H66">
        <v>76.19047619047619</v>
      </c>
    </row>
    <row r="67" spans="1:8" x14ac:dyDescent="0.2">
      <c r="A67" s="6">
        <v>40359</v>
      </c>
      <c r="B67">
        <v>425</v>
      </c>
      <c r="C67" s="4">
        <f t="shared" si="0"/>
        <v>35416.666666666664</v>
      </c>
      <c r="D67">
        <v>-111</v>
      </c>
      <c r="E67">
        <v>-20.708955223880597</v>
      </c>
      <c r="F67">
        <v>-21</v>
      </c>
      <c r="G67">
        <v>-27</v>
      </c>
      <c r="H67">
        <v>-450</v>
      </c>
    </row>
    <row r="68" spans="1:8" x14ac:dyDescent="0.2">
      <c r="A68" s="6">
        <v>40268</v>
      </c>
      <c r="B68">
        <v>536</v>
      </c>
      <c r="C68" s="4">
        <f t="shared" si="0"/>
        <v>44666.666666666664</v>
      </c>
      <c r="D68">
        <v>28</v>
      </c>
      <c r="E68">
        <v>5.5118110236220472</v>
      </c>
      <c r="F68">
        <v>6</v>
      </c>
      <c r="G68">
        <v>0</v>
      </c>
      <c r="H68">
        <v>0</v>
      </c>
    </row>
    <row r="69" spans="1:8" x14ac:dyDescent="0.2">
      <c r="A69" s="6">
        <v>40178</v>
      </c>
      <c r="B69">
        <v>508</v>
      </c>
      <c r="C69" s="4">
        <f t="shared" si="0"/>
        <v>42333.333333333336</v>
      </c>
      <c r="D69">
        <v>31</v>
      </c>
      <c r="E69">
        <v>6.4989517819706499</v>
      </c>
      <c r="F69">
        <v>6</v>
      </c>
      <c r="G69">
        <v>2</v>
      </c>
      <c r="H69">
        <v>50</v>
      </c>
    </row>
    <row r="70" spans="1:8" x14ac:dyDescent="0.2">
      <c r="A70" s="6">
        <v>40086</v>
      </c>
      <c r="B70">
        <v>477</v>
      </c>
      <c r="C70" s="4">
        <f t="shared" si="0"/>
        <v>39750</v>
      </c>
      <c r="D70">
        <v>19</v>
      </c>
      <c r="E70">
        <v>4.1484716157205241</v>
      </c>
      <c r="F70">
        <v>4</v>
      </c>
      <c r="G70">
        <v>-23</v>
      </c>
      <c r="H70">
        <v>-85.18518518518519</v>
      </c>
    </row>
    <row r="71" spans="1:8" x14ac:dyDescent="0.2">
      <c r="A71" s="6">
        <v>39994</v>
      </c>
      <c r="B71">
        <v>458</v>
      </c>
      <c r="C71" s="4">
        <f t="shared" si="0"/>
        <v>38166.666666666664</v>
      </c>
      <c r="D71">
        <v>97</v>
      </c>
      <c r="E71">
        <v>26.869806094182824</v>
      </c>
      <c r="F71">
        <v>27</v>
      </c>
      <c r="G71">
        <v>28</v>
      </c>
      <c r="H71">
        <v>2800</v>
      </c>
    </row>
    <row r="72" spans="1:8" x14ac:dyDescent="0.2">
      <c r="A72" s="6">
        <v>39903</v>
      </c>
      <c r="B72">
        <v>361</v>
      </c>
      <c r="C72" s="4">
        <f t="shared" ref="C72:C85" si="1">B72*1000/12</f>
        <v>30083.333333333332</v>
      </c>
      <c r="D72">
        <v>-3</v>
      </c>
      <c r="E72">
        <v>-0.82417582417582413</v>
      </c>
      <c r="F72">
        <v>-1</v>
      </c>
      <c r="G72">
        <v>30</v>
      </c>
      <c r="H72">
        <v>96.774193548387103</v>
      </c>
    </row>
    <row r="73" spans="1:8" x14ac:dyDescent="0.2">
      <c r="A73" s="6">
        <v>39813</v>
      </c>
      <c r="B73">
        <v>364</v>
      </c>
      <c r="C73" s="4">
        <f t="shared" si="1"/>
        <v>30333.333333333332</v>
      </c>
      <c r="D73">
        <v>-165</v>
      </c>
      <c r="E73">
        <v>-31.190926275992439</v>
      </c>
      <c r="F73">
        <v>-31</v>
      </c>
      <c r="G73">
        <v>-18</v>
      </c>
      <c r="H73">
        <v>-138.46153846153845</v>
      </c>
    </row>
    <row r="74" spans="1:8" x14ac:dyDescent="0.2">
      <c r="A74" s="6">
        <v>39721</v>
      </c>
      <c r="B74">
        <v>529</v>
      </c>
      <c r="C74" s="4">
        <f t="shared" si="1"/>
        <v>44083.333333333336</v>
      </c>
      <c r="D74">
        <v>-76</v>
      </c>
      <c r="E74">
        <v>-12.561983471074381</v>
      </c>
      <c r="F74">
        <v>-13</v>
      </c>
      <c r="G74">
        <v>-7</v>
      </c>
      <c r="H74">
        <v>-116.66666666666667</v>
      </c>
    </row>
    <row r="75" spans="1:8" x14ac:dyDescent="0.2">
      <c r="A75" s="6">
        <v>39629</v>
      </c>
      <c r="B75">
        <v>605</v>
      </c>
      <c r="C75" s="4">
        <f t="shared" si="1"/>
        <v>50416.666666666664</v>
      </c>
      <c r="D75">
        <v>-37</v>
      </c>
      <c r="E75">
        <v>-5.7632398753894085</v>
      </c>
      <c r="F75">
        <v>-6</v>
      </c>
      <c r="G75">
        <v>7</v>
      </c>
      <c r="H75">
        <v>53.846153846153847</v>
      </c>
    </row>
    <row r="76" spans="1:8" x14ac:dyDescent="0.2">
      <c r="A76" s="6">
        <v>39538</v>
      </c>
      <c r="B76">
        <v>642</v>
      </c>
      <c r="C76" s="4">
        <f t="shared" si="1"/>
        <v>53500</v>
      </c>
      <c r="D76">
        <v>-100</v>
      </c>
      <c r="E76">
        <v>-13.477088948787062</v>
      </c>
      <c r="F76">
        <v>-13</v>
      </c>
      <c r="G76">
        <v>0</v>
      </c>
      <c r="H76">
        <v>0</v>
      </c>
    </row>
    <row r="77" spans="1:8" x14ac:dyDescent="0.2">
      <c r="A77" s="6">
        <v>39447</v>
      </c>
      <c r="B77">
        <v>742</v>
      </c>
      <c r="C77" s="4">
        <f t="shared" si="1"/>
        <v>61833.333333333336</v>
      </c>
      <c r="D77">
        <v>-113</v>
      </c>
      <c r="E77">
        <v>-13.216374269005849</v>
      </c>
      <c r="F77">
        <v>-13</v>
      </c>
      <c r="G77">
        <v>1</v>
      </c>
      <c r="H77">
        <v>7.1428571428571432</v>
      </c>
    </row>
    <row r="78" spans="1:8" x14ac:dyDescent="0.2">
      <c r="A78" s="6">
        <v>39353</v>
      </c>
      <c r="B78">
        <v>855</v>
      </c>
      <c r="C78" s="4">
        <f t="shared" si="1"/>
        <v>71250</v>
      </c>
      <c r="D78">
        <v>-140</v>
      </c>
      <c r="E78">
        <v>-14.07035175879397</v>
      </c>
      <c r="F78">
        <v>-14</v>
      </c>
      <c r="G78">
        <v>-1</v>
      </c>
      <c r="H78">
        <v>-7.6923076923076925</v>
      </c>
    </row>
    <row r="79" spans="1:8" x14ac:dyDescent="0.2">
      <c r="A79" s="6">
        <v>39262</v>
      </c>
      <c r="B79">
        <v>995</v>
      </c>
      <c r="C79" s="4">
        <f t="shared" si="1"/>
        <v>82916.666666666672</v>
      </c>
      <c r="D79">
        <v>-152</v>
      </c>
      <c r="E79">
        <v>-13.251961639058413</v>
      </c>
      <c r="F79">
        <v>-13</v>
      </c>
      <c r="G79">
        <v>-9</v>
      </c>
      <c r="H79">
        <v>-225</v>
      </c>
    </row>
    <row r="80" spans="1:8" x14ac:dyDescent="0.2">
      <c r="A80" s="6">
        <v>39171</v>
      </c>
      <c r="B80">
        <v>1147</v>
      </c>
      <c r="C80" s="4">
        <f t="shared" si="1"/>
        <v>95583.333333333328</v>
      </c>
      <c r="D80">
        <v>-51</v>
      </c>
      <c r="E80">
        <v>-4.2570951585976626</v>
      </c>
      <c r="F80">
        <v>-4</v>
      </c>
      <c r="G80">
        <v>-2</v>
      </c>
      <c r="H80">
        <v>-100</v>
      </c>
    </row>
    <row r="81" spans="1:8" x14ac:dyDescent="0.2">
      <c r="A81" s="6">
        <v>39080</v>
      </c>
      <c r="B81">
        <v>1198</v>
      </c>
      <c r="C81" s="4">
        <f t="shared" si="1"/>
        <v>99833.333333333328</v>
      </c>
      <c r="D81">
        <v>-20</v>
      </c>
      <c r="E81">
        <v>-1.6420361247947455</v>
      </c>
      <c r="F81">
        <v>-2</v>
      </c>
      <c r="G81">
        <v>11</v>
      </c>
      <c r="H81">
        <v>84.615384615384613</v>
      </c>
    </row>
    <row r="82" spans="1:8" x14ac:dyDescent="0.2">
      <c r="A82" s="6">
        <v>38989</v>
      </c>
      <c r="B82">
        <v>1218</v>
      </c>
      <c r="C82" s="4">
        <f t="shared" si="1"/>
        <v>101500</v>
      </c>
      <c r="D82">
        <v>-175</v>
      </c>
      <c r="E82">
        <v>-12.562814070351759</v>
      </c>
      <c r="F82">
        <v>-13</v>
      </c>
      <c r="G82">
        <v>-3</v>
      </c>
      <c r="H82">
        <v>-30</v>
      </c>
    </row>
    <row r="83" spans="1:8" x14ac:dyDescent="0.2">
      <c r="A83" s="6">
        <v>38898</v>
      </c>
      <c r="B83">
        <v>1393</v>
      </c>
      <c r="C83" s="4">
        <f t="shared" si="1"/>
        <v>116083.33333333333</v>
      </c>
      <c r="D83">
        <v>-158</v>
      </c>
      <c r="E83">
        <v>-10.186976144422953</v>
      </c>
      <c r="F83">
        <v>-10</v>
      </c>
      <c r="G83">
        <v>-3</v>
      </c>
      <c r="H83">
        <v>-42.857142857142854</v>
      </c>
    </row>
    <row r="84" spans="1:8" x14ac:dyDescent="0.2">
      <c r="A84" s="6">
        <v>38807</v>
      </c>
      <c r="B84">
        <v>1551</v>
      </c>
      <c r="C84" s="4">
        <f t="shared" si="1"/>
        <v>129250</v>
      </c>
      <c r="D84">
        <v>-110</v>
      </c>
      <c r="E84">
        <v>-6.6225165562913908</v>
      </c>
      <c r="F84">
        <v>-7</v>
      </c>
      <c r="G84">
        <v>1</v>
      </c>
      <c r="H84">
        <v>12.5</v>
      </c>
    </row>
    <row r="85" spans="1:8" x14ac:dyDescent="0.2">
      <c r="A85" s="6">
        <v>38716</v>
      </c>
      <c r="B85">
        <v>1661</v>
      </c>
      <c r="C85" s="4">
        <f t="shared" si="1"/>
        <v>138416.66666666666</v>
      </c>
      <c r="F85">
        <v>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9EC6-AF5B-4ED7-B53C-0472C2AE00AD}">
  <dimension ref="A1:I85"/>
  <sheetViews>
    <sheetView workbookViewId="0">
      <selection activeCell="I6" sqref="I6"/>
    </sheetView>
  </sheetViews>
  <sheetFormatPr baseColWidth="10" defaultColWidth="8.83203125" defaultRowHeight="15" outlineLevelCol="1" x14ac:dyDescent="0.2"/>
  <cols>
    <col min="1" max="1" width="12.83203125" customWidth="1"/>
    <col min="2" max="2" width="21.5" customWidth="1"/>
    <col min="3" max="3" width="19.1640625" customWidth="1"/>
    <col min="4" max="8" width="9.1640625" hidden="1" customWidth="1" outlineLevel="1"/>
    <col min="9" max="9" width="9.1640625" collapsed="1"/>
  </cols>
  <sheetData>
    <row r="1" spans="1:9" x14ac:dyDescent="0.2">
      <c r="A1" t="s">
        <v>0</v>
      </c>
      <c r="B1" t="s">
        <v>54</v>
      </c>
    </row>
    <row r="2" spans="1:9" x14ac:dyDescent="0.2">
      <c r="A2" t="s">
        <v>2</v>
      </c>
      <c r="B2" s="5">
        <v>38716</v>
      </c>
      <c r="C2" s="5"/>
    </row>
    <row r="3" spans="1:9" x14ac:dyDescent="0.2">
      <c r="A3" t="s">
        <v>3</v>
      </c>
      <c r="B3" s="5">
        <v>45838</v>
      </c>
      <c r="C3" s="5"/>
    </row>
    <row r="4" spans="1:9" x14ac:dyDescent="0.2">
      <c r="A4" t="s">
        <v>4</v>
      </c>
      <c r="B4" t="s">
        <v>19</v>
      </c>
    </row>
    <row r="6" spans="1:9" x14ac:dyDescent="0.2">
      <c r="A6" t="s">
        <v>6</v>
      </c>
      <c r="B6" t="s">
        <v>55</v>
      </c>
      <c r="C6" t="s">
        <v>56</v>
      </c>
      <c r="D6" t="s">
        <v>8</v>
      </c>
      <c r="E6" t="s">
        <v>9</v>
      </c>
      <c r="F6" t="s">
        <v>10</v>
      </c>
      <c r="G6" t="s">
        <v>8</v>
      </c>
      <c r="H6" t="s">
        <v>9</v>
      </c>
      <c r="I6" t="s">
        <v>14</v>
      </c>
    </row>
    <row r="7" spans="1:9" x14ac:dyDescent="0.2">
      <c r="A7" s="6">
        <v>45838</v>
      </c>
      <c r="B7">
        <v>1382</v>
      </c>
      <c r="C7" s="4">
        <f>B7*1000/12</f>
        <v>115166.66666666667</v>
      </c>
      <c r="D7">
        <v>27</v>
      </c>
      <c r="E7">
        <v>1.9926199261992621</v>
      </c>
      <c r="F7">
        <v>2</v>
      </c>
      <c r="G7">
        <v>13</v>
      </c>
      <c r="H7">
        <v>118.18181818181819</v>
      </c>
    </row>
    <row r="8" spans="1:9" x14ac:dyDescent="0.2">
      <c r="A8" s="6">
        <v>45747</v>
      </c>
      <c r="B8">
        <v>1355</v>
      </c>
      <c r="C8" s="4">
        <f t="shared" ref="C8:C71" si="0">B8*1000/12</f>
        <v>112916.66666666667</v>
      </c>
      <c r="D8">
        <v>-159</v>
      </c>
      <c r="E8">
        <v>-10.501981505944517</v>
      </c>
      <c r="F8">
        <v>-11</v>
      </c>
      <c r="G8">
        <v>-23</v>
      </c>
      <c r="H8">
        <v>-191.66666666666666</v>
      </c>
    </row>
    <row r="9" spans="1:9" x14ac:dyDescent="0.2">
      <c r="A9" s="6">
        <v>45657</v>
      </c>
      <c r="B9">
        <v>1514</v>
      </c>
      <c r="C9" s="4">
        <f t="shared" si="0"/>
        <v>126166.66666666667</v>
      </c>
      <c r="D9">
        <v>157</v>
      </c>
      <c r="E9">
        <v>11.569638909358879</v>
      </c>
      <c r="F9">
        <v>12</v>
      </c>
      <c r="G9">
        <v>10</v>
      </c>
      <c r="H9">
        <v>500</v>
      </c>
    </row>
    <row r="10" spans="1:9" x14ac:dyDescent="0.2">
      <c r="A10" s="6">
        <v>45565</v>
      </c>
      <c r="B10">
        <v>1357</v>
      </c>
      <c r="C10" s="4">
        <f t="shared" si="0"/>
        <v>113083.33333333333</v>
      </c>
      <c r="D10">
        <v>30</v>
      </c>
      <c r="E10">
        <v>2.2607385079125848</v>
      </c>
      <c r="F10">
        <v>2</v>
      </c>
      <c r="G10">
        <v>1</v>
      </c>
      <c r="H10">
        <v>100</v>
      </c>
    </row>
    <row r="11" spans="1:9" x14ac:dyDescent="0.2">
      <c r="A11" s="6">
        <v>45471</v>
      </c>
      <c r="B11">
        <v>1327</v>
      </c>
      <c r="C11" s="4">
        <f t="shared" si="0"/>
        <v>110583.33333333333</v>
      </c>
      <c r="D11">
        <v>15</v>
      </c>
      <c r="E11">
        <v>1.1432926829268293</v>
      </c>
      <c r="F11">
        <v>1</v>
      </c>
      <c r="G11">
        <v>15</v>
      </c>
      <c r="H11">
        <v>107.14285714285714</v>
      </c>
    </row>
    <row r="12" spans="1:9" x14ac:dyDescent="0.2">
      <c r="A12" s="6">
        <v>45380</v>
      </c>
      <c r="B12">
        <v>1312</v>
      </c>
      <c r="C12" s="4">
        <f t="shared" si="0"/>
        <v>109333.33333333333</v>
      </c>
      <c r="D12">
        <v>-209</v>
      </c>
      <c r="E12">
        <v>-13.740959894806048</v>
      </c>
      <c r="F12">
        <v>-14</v>
      </c>
      <c r="G12">
        <v>-25</v>
      </c>
      <c r="H12">
        <v>-227.27272727272728</v>
      </c>
    </row>
    <row r="13" spans="1:9" x14ac:dyDescent="0.2">
      <c r="A13" s="6">
        <v>45289</v>
      </c>
      <c r="B13">
        <v>1521</v>
      </c>
      <c r="C13" s="4">
        <f t="shared" si="0"/>
        <v>126750</v>
      </c>
      <c r="D13">
        <v>150</v>
      </c>
      <c r="E13">
        <v>10.940919037199125</v>
      </c>
      <c r="F13">
        <v>11</v>
      </c>
      <c r="G13">
        <v>15</v>
      </c>
      <c r="H13">
        <v>375</v>
      </c>
    </row>
    <row r="14" spans="1:9" x14ac:dyDescent="0.2">
      <c r="A14" s="6">
        <v>45198</v>
      </c>
      <c r="B14">
        <v>1371</v>
      </c>
      <c r="C14" s="4">
        <f t="shared" si="0"/>
        <v>114250</v>
      </c>
      <c r="D14">
        <v>-50</v>
      </c>
      <c r="E14">
        <v>-3.5186488388458832</v>
      </c>
      <c r="F14">
        <v>-4</v>
      </c>
      <c r="G14">
        <v>-7</v>
      </c>
      <c r="H14">
        <v>-233.33333333333334</v>
      </c>
    </row>
    <row r="15" spans="1:9" x14ac:dyDescent="0.2">
      <c r="A15" s="6">
        <v>45107</v>
      </c>
      <c r="B15">
        <v>1421</v>
      </c>
      <c r="C15" s="4">
        <f t="shared" si="0"/>
        <v>118416.66666666667</v>
      </c>
      <c r="D15">
        <v>44</v>
      </c>
      <c r="E15">
        <v>3.1953522149600579</v>
      </c>
      <c r="F15">
        <v>3</v>
      </c>
      <c r="G15">
        <v>-2</v>
      </c>
      <c r="H15">
        <v>-40</v>
      </c>
    </row>
    <row r="16" spans="1:9" x14ac:dyDescent="0.2">
      <c r="A16" s="6">
        <v>45016</v>
      </c>
      <c r="B16">
        <v>1377</v>
      </c>
      <c r="C16" s="4">
        <f t="shared" si="0"/>
        <v>114750</v>
      </c>
      <c r="D16">
        <v>69</v>
      </c>
      <c r="E16">
        <v>5.2752293577981648</v>
      </c>
      <c r="F16">
        <v>5</v>
      </c>
      <c r="G16">
        <v>17</v>
      </c>
      <c r="H16">
        <v>141.66666666666666</v>
      </c>
    </row>
    <row r="17" spans="1:8" x14ac:dyDescent="0.2">
      <c r="A17" s="6">
        <v>44925</v>
      </c>
      <c r="B17">
        <v>1308</v>
      </c>
      <c r="C17" s="4">
        <f t="shared" si="0"/>
        <v>109000</v>
      </c>
      <c r="D17">
        <v>-180</v>
      </c>
      <c r="E17">
        <v>-12.096774193548388</v>
      </c>
      <c r="F17">
        <v>-12</v>
      </c>
      <c r="G17">
        <v>-8</v>
      </c>
      <c r="H17">
        <v>-200</v>
      </c>
    </row>
    <row r="18" spans="1:8" x14ac:dyDescent="0.2">
      <c r="A18" s="6">
        <v>44834</v>
      </c>
      <c r="B18">
        <v>1488</v>
      </c>
      <c r="C18" s="4">
        <f t="shared" si="0"/>
        <v>124000</v>
      </c>
      <c r="D18">
        <v>-63</v>
      </c>
      <c r="E18">
        <v>-4.061895551257253</v>
      </c>
      <c r="F18">
        <v>-4</v>
      </c>
      <c r="G18">
        <v>5</v>
      </c>
      <c r="H18">
        <v>55.555555555555557</v>
      </c>
    </row>
    <row r="19" spans="1:8" x14ac:dyDescent="0.2">
      <c r="A19" s="6">
        <v>44742</v>
      </c>
      <c r="B19">
        <v>1551</v>
      </c>
      <c r="C19" s="4">
        <f t="shared" si="0"/>
        <v>129250</v>
      </c>
      <c r="D19">
        <v>-161</v>
      </c>
      <c r="E19">
        <v>-9.4042056074766354</v>
      </c>
      <c r="F19">
        <v>-9</v>
      </c>
      <c r="G19">
        <v>-8</v>
      </c>
      <c r="H19">
        <v>-800</v>
      </c>
    </row>
    <row r="20" spans="1:8" x14ac:dyDescent="0.2">
      <c r="A20" s="6">
        <v>44651</v>
      </c>
      <c r="B20">
        <v>1712</v>
      </c>
      <c r="C20" s="4">
        <f t="shared" si="0"/>
        <v>142666.66666666666</v>
      </c>
      <c r="D20">
        <v>-10</v>
      </c>
      <c r="E20">
        <v>-0.58072009291521487</v>
      </c>
      <c r="F20">
        <v>-1</v>
      </c>
      <c r="G20">
        <v>-10</v>
      </c>
      <c r="H20">
        <v>-111.11111111111111</v>
      </c>
    </row>
    <row r="21" spans="1:8" x14ac:dyDescent="0.2">
      <c r="A21" s="6">
        <v>44561</v>
      </c>
      <c r="B21">
        <v>1722</v>
      </c>
      <c r="C21" s="4">
        <f t="shared" si="0"/>
        <v>143500</v>
      </c>
      <c r="D21">
        <v>145</v>
      </c>
      <c r="E21">
        <v>9.1946734305643627</v>
      </c>
      <c r="F21">
        <v>9</v>
      </c>
      <c r="G21">
        <v>13</v>
      </c>
      <c r="H21">
        <v>325</v>
      </c>
    </row>
    <row r="22" spans="1:8" x14ac:dyDescent="0.2">
      <c r="A22" s="6">
        <v>44469</v>
      </c>
      <c r="B22">
        <v>1577</v>
      </c>
      <c r="C22" s="4">
        <f t="shared" si="0"/>
        <v>131416.66666666666</v>
      </c>
      <c r="D22">
        <v>-73</v>
      </c>
      <c r="E22">
        <v>-4.4242424242424239</v>
      </c>
      <c r="F22">
        <v>-4</v>
      </c>
      <c r="G22">
        <v>-1</v>
      </c>
      <c r="H22">
        <v>-33.333333333333336</v>
      </c>
    </row>
    <row r="23" spans="1:8" x14ac:dyDescent="0.2">
      <c r="A23" s="6">
        <v>44377</v>
      </c>
      <c r="B23">
        <v>1650</v>
      </c>
      <c r="C23" s="4">
        <f t="shared" si="0"/>
        <v>137500</v>
      </c>
      <c r="D23">
        <v>-46</v>
      </c>
      <c r="E23">
        <v>-2.7122641509433962</v>
      </c>
      <c r="F23">
        <v>-3</v>
      </c>
      <c r="G23">
        <v>-8</v>
      </c>
      <c r="H23">
        <v>-160</v>
      </c>
    </row>
    <row r="24" spans="1:8" x14ac:dyDescent="0.2">
      <c r="A24" s="6">
        <v>44286</v>
      </c>
      <c r="B24">
        <v>1696</v>
      </c>
      <c r="C24" s="4">
        <f t="shared" si="0"/>
        <v>141333.33333333334</v>
      </c>
      <c r="D24">
        <v>82</v>
      </c>
      <c r="E24">
        <v>5.0805452292441142</v>
      </c>
      <c r="F24">
        <v>5</v>
      </c>
      <c r="G24">
        <v>-5</v>
      </c>
      <c r="H24">
        <v>-50</v>
      </c>
    </row>
    <row r="25" spans="1:8" x14ac:dyDescent="0.2">
      <c r="A25" s="6">
        <v>44196</v>
      </c>
      <c r="B25">
        <v>1614</v>
      </c>
      <c r="C25" s="4">
        <f t="shared" si="0"/>
        <v>134500</v>
      </c>
      <c r="D25">
        <v>141</v>
      </c>
      <c r="E25">
        <v>9.5723014256619141</v>
      </c>
      <c r="F25">
        <v>10</v>
      </c>
      <c r="G25">
        <v>-6</v>
      </c>
      <c r="H25">
        <v>-37.5</v>
      </c>
    </row>
    <row r="26" spans="1:8" x14ac:dyDescent="0.2">
      <c r="A26" s="6">
        <v>44104</v>
      </c>
      <c r="B26">
        <v>1473</v>
      </c>
      <c r="C26" s="4">
        <f t="shared" si="0"/>
        <v>122750</v>
      </c>
      <c r="D26">
        <v>207</v>
      </c>
      <c r="E26">
        <v>16.350710900473935</v>
      </c>
      <c r="F26">
        <v>16</v>
      </c>
      <c r="G26">
        <v>16</v>
      </c>
      <c r="H26" t="e">
        <v>#DIV/0!</v>
      </c>
    </row>
    <row r="27" spans="1:8" x14ac:dyDescent="0.2">
      <c r="A27" s="6">
        <v>44012</v>
      </c>
      <c r="B27">
        <v>1266</v>
      </c>
      <c r="C27" s="4">
        <f t="shared" si="0"/>
        <v>105500</v>
      </c>
      <c r="D27">
        <v>0</v>
      </c>
      <c r="E27">
        <v>0</v>
      </c>
      <c r="F27">
        <v>0</v>
      </c>
      <c r="G27">
        <v>18</v>
      </c>
      <c r="H27">
        <v>100</v>
      </c>
    </row>
    <row r="28" spans="1:8" x14ac:dyDescent="0.2">
      <c r="A28" s="6">
        <v>43921</v>
      </c>
      <c r="B28">
        <v>1266</v>
      </c>
      <c r="C28" s="4">
        <f t="shared" si="0"/>
        <v>105500</v>
      </c>
      <c r="D28">
        <v>-282</v>
      </c>
      <c r="E28">
        <v>-18.217054263565892</v>
      </c>
      <c r="F28">
        <v>-18</v>
      </c>
      <c r="G28">
        <v>-36</v>
      </c>
      <c r="H28">
        <v>-200</v>
      </c>
    </row>
    <row r="29" spans="1:8" x14ac:dyDescent="0.2">
      <c r="A29" s="6">
        <v>43830</v>
      </c>
      <c r="B29">
        <v>1548</v>
      </c>
      <c r="C29" s="4">
        <f t="shared" si="0"/>
        <v>129000</v>
      </c>
      <c r="D29">
        <v>237</v>
      </c>
      <c r="E29">
        <v>18.077803203661329</v>
      </c>
      <c r="F29">
        <v>18</v>
      </c>
      <c r="G29">
        <v>13</v>
      </c>
      <c r="H29">
        <v>260</v>
      </c>
    </row>
    <row r="30" spans="1:8" x14ac:dyDescent="0.2">
      <c r="A30" s="6">
        <v>43738</v>
      </c>
      <c r="B30">
        <v>1311</v>
      </c>
      <c r="C30" s="4">
        <f t="shared" si="0"/>
        <v>109250</v>
      </c>
      <c r="D30">
        <v>68</v>
      </c>
      <c r="E30">
        <v>5.470635559131134</v>
      </c>
      <c r="F30">
        <v>5</v>
      </c>
      <c r="G30">
        <v>1</v>
      </c>
      <c r="H30">
        <v>25</v>
      </c>
    </row>
    <row r="31" spans="1:8" x14ac:dyDescent="0.2">
      <c r="A31" s="6">
        <v>43644</v>
      </c>
      <c r="B31">
        <v>1243</v>
      </c>
      <c r="C31" s="4">
        <f t="shared" si="0"/>
        <v>103583.33333333333</v>
      </c>
      <c r="D31">
        <v>52</v>
      </c>
      <c r="E31">
        <v>4.3660789252728796</v>
      </c>
      <c r="F31">
        <v>4</v>
      </c>
      <c r="G31">
        <v>-5</v>
      </c>
      <c r="H31">
        <v>-55.555555555555557</v>
      </c>
    </row>
    <row r="32" spans="1:8" x14ac:dyDescent="0.2">
      <c r="A32" s="6">
        <v>43553</v>
      </c>
      <c r="B32">
        <v>1191</v>
      </c>
      <c r="C32" s="4">
        <f t="shared" si="0"/>
        <v>99250</v>
      </c>
      <c r="D32">
        <v>96</v>
      </c>
      <c r="E32">
        <v>8.7671232876712324</v>
      </c>
      <c r="F32">
        <v>9</v>
      </c>
      <c r="G32">
        <v>21</v>
      </c>
      <c r="H32">
        <v>175</v>
      </c>
    </row>
    <row r="33" spans="1:8" x14ac:dyDescent="0.2">
      <c r="A33" s="6">
        <v>43465</v>
      </c>
      <c r="B33">
        <v>1095</v>
      </c>
      <c r="C33" s="4">
        <f t="shared" si="0"/>
        <v>91250</v>
      </c>
      <c r="D33">
        <v>-155</v>
      </c>
      <c r="E33">
        <v>-12.4</v>
      </c>
      <c r="F33">
        <v>-12</v>
      </c>
      <c r="G33">
        <v>-17</v>
      </c>
      <c r="H33">
        <v>-340</v>
      </c>
    </row>
    <row r="34" spans="1:8" x14ac:dyDescent="0.2">
      <c r="A34" s="6">
        <v>43371</v>
      </c>
      <c r="B34">
        <v>1250</v>
      </c>
      <c r="C34" s="4">
        <f t="shared" si="0"/>
        <v>104166.66666666667</v>
      </c>
      <c r="D34">
        <v>58</v>
      </c>
      <c r="E34">
        <v>4.8657718120805367</v>
      </c>
      <c r="F34">
        <v>5</v>
      </c>
      <c r="G34">
        <v>15</v>
      </c>
      <c r="H34">
        <v>150</v>
      </c>
    </row>
    <row r="35" spans="1:8" x14ac:dyDescent="0.2">
      <c r="A35" s="6">
        <v>43280</v>
      </c>
      <c r="B35">
        <v>1192</v>
      </c>
      <c r="C35" s="4">
        <f t="shared" si="0"/>
        <v>99333.333333333328</v>
      </c>
      <c r="D35">
        <v>-126</v>
      </c>
      <c r="E35">
        <v>-9.559939301972685</v>
      </c>
      <c r="F35">
        <v>-10</v>
      </c>
      <c r="G35">
        <v>-22</v>
      </c>
      <c r="H35">
        <v>-183.33333333333334</v>
      </c>
    </row>
    <row r="36" spans="1:8" x14ac:dyDescent="0.2">
      <c r="A36" s="6">
        <v>43189</v>
      </c>
      <c r="B36">
        <v>1318</v>
      </c>
      <c r="C36" s="4">
        <f t="shared" si="0"/>
        <v>109833.33333333333</v>
      </c>
      <c r="D36">
        <v>141</v>
      </c>
      <c r="E36">
        <v>11.979609175870857</v>
      </c>
      <c r="F36">
        <v>12</v>
      </c>
      <c r="G36">
        <v>12</v>
      </c>
      <c r="H36" t="e">
        <v>#DIV/0!</v>
      </c>
    </row>
    <row r="37" spans="1:8" x14ac:dyDescent="0.2">
      <c r="A37" s="6">
        <v>43098</v>
      </c>
      <c r="B37">
        <v>1177</v>
      </c>
      <c r="C37" s="4">
        <f t="shared" si="0"/>
        <v>98083.333333333328</v>
      </c>
      <c r="D37">
        <v>-4</v>
      </c>
      <c r="E37">
        <v>-0.33869602032176122</v>
      </c>
      <c r="F37">
        <v>0</v>
      </c>
      <c r="G37">
        <v>5</v>
      </c>
      <c r="H37">
        <v>100</v>
      </c>
    </row>
    <row r="38" spans="1:8" x14ac:dyDescent="0.2">
      <c r="A38" s="6">
        <v>43007</v>
      </c>
      <c r="B38">
        <v>1181</v>
      </c>
      <c r="C38" s="4">
        <f t="shared" si="0"/>
        <v>98416.666666666672</v>
      </c>
      <c r="D38">
        <v>-68</v>
      </c>
      <c r="E38">
        <v>-5.4443554843875104</v>
      </c>
      <c r="F38">
        <v>-5</v>
      </c>
      <c r="G38">
        <v>-10</v>
      </c>
      <c r="H38">
        <v>-200</v>
      </c>
    </row>
    <row r="39" spans="1:8" x14ac:dyDescent="0.2">
      <c r="A39" s="6">
        <v>42916</v>
      </c>
      <c r="B39">
        <v>1249</v>
      </c>
      <c r="C39" s="4">
        <f t="shared" si="0"/>
        <v>104083.33333333333</v>
      </c>
      <c r="D39">
        <v>59</v>
      </c>
      <c r="E39">
        <v>4.9579831932773111</v>
      </c>
      <c r="F39">
        <v>5</v>
      </c>
      <c r="G39">
        <v>10</v>
      </c>
      <c r="H39">
        <v>200</v>
      </c>
    </row>
    <row r="40" spans="1:8" x14ac:dyDescent="0.2">
      <c r="A40" s="6">
        <v>42825</v>
      </c>
      <c r="B40">
        <v>1190</v>
      </c>
      <c r="C40" s="4">
        <f t="shared" si="0"/>
        <v>99166.666666666672</v>
      </c>
      <c r="D40">
        <v>-62</v>
      </c>
      <c r="E40">
        <v>-4.9520766773162936</v>
      </c>
      <c r="F40">
        <v>-5</v>
      </c>
      <c r="G40">
        <v>-22</v>
      </c>
      <c r="H40">
        <v>-129.41176470588235</v>
      </c>
    </row>
    <row r="41" spans="1:8" x14ac:dyDescent="0.2">
      <c r="A41" s="6">
        <v>42734</v>
      </c>
      <c r="B41">
        <v>1252</v>
      </c>
      <c r="C41" s="4">
        <f t="shared" si="0"/>
        <v>104333.33333333333</v>
      </c>
      <c r="D41">
        <v>184</v>
      </c>
      <c r="E41">
        <v>17.228464419475657</v>
      </c>
      <c r="F41">
        <v>17</v>
      </c>
      <c r="G41">
        <v>28</v>
      </c>
      <c r="H41">
        <v>254.54545454545453</v>
      </c>
    </row>
    <row r="42" spans="1:8" x14ac:dyDescent="0.2">
      <c r="A42" s="6">
        <v>42643</v>
      </c>
      <c r="B42">
        <v>1068</v>
      </c>
      <c r="C42" s="4">
        <f t="shared" si="0"/>
        <v>89000</v>
      </c>
      <c r="D42">
        <v>-135</v>
      </c>
      <c r="E42">
        <v>-11.221945137157107</v>
      </c>
      <c r="F42">
        <v>-11</v>
      </c>
      <c r="G42">
        <v>-19</v>
      </c>
      <c r="H42">
        <v>-237.5</v>
      </c>
    </row>
    <row r="43" spans="1:8" x14ac:dyDescent="0.2">
      <c r="A43" s="6">
        <v>42551</v>
      </c>
      <c r="B43">
        <v>1203</v>
      </c>
      <c r="C43" s="4">
        <f t="shared" si="0"/>
        <v>100250</v>
      </c>
      <c r="D43">
        <v>92</v>
      </c>
      <c r="E43">
        <v>8.2808280828082808</v>
      </c>
      <c r="F43">
        <v>8</v>
      </c>
      <c r="G43">
        <v>11</v>
      </c>
      <c r="H43">
        <v>366.66666666666669</v>
      </c>
    </row>
    <row r="44" spans="1:8" x14ac:dyDescent="0.2">
      <c r="A44" s="6">
        <v>42460</v>
      </c>
      <c r="B44">
        <v>1111</v>
      </c>
      <c r="C44" s="4">
        <f t="shared" si="0"/>
        <v>92583.333333333328</v>
      </c>
      <c r="D44">
        <v>-35</v>
      </c>
      <c r="E44">
        <v>-3.0541012216404888</v>
      </c>
      <c r="F44">
        <v>-3</v>
      </c>
      <c r="G44">
        <v>3</v>
      </c>
      <c r="H44">
        <v>50</v>
      </c>
    </row>
    <row r="45" spans="1:8" x14ac:dyDescent="0.2">
      <c r="A45" s="6">
        <v>42369</v>
      </c>
      <c r="B45">
        <v>1146</v>
      </c>
      <c r="C45" s="4">
        <f t="shared" si="0"/>
        <v>95500</v>
      </c>
      <c r="D45">
        <v>-78</v>
      </c>
      <c r="E45">
        <v>-6.3725490196078427</v>
      </c>
      <c r="F45">
        <v>-6</v>
      </c>
      <c r="G45">
        <v>-8</v>
      </c>
      <c r="H45">
        <v>-400</v>
      </c>
    </row>
    <row r="46" spans="1:8" x14ac:dyDescent="0.2">
      <c r="A46" s="6">
        <v>42277</v>
      </c>
      <c r="B46">
        <v>1224</v>
      </c>
      <c r="C46" s="4">
        <f t="shared" si="0"/>
        <v>102000</v>
      </c>
      <c r="D46">
        <v>19</v>
      </c>
      <c r="E46">
        <v>1.5767634854771784</v>
      </c>
      <c r="F46">
        <v>2</v>
      </c>
      <c r="G46">
        <v>-24</v>
      </c>
      <c r="H46">
        <v>-92.307692307692307</v>
      </c>
    </row>
    <row r="47" spans="1:8" x14ac:dyDescent="0.2">
      <c r="A47" s="6">
        <v>42185</v>
      </c>
      <c r="B47">
        <v>1205</v>
      </c>
      <c r="C47" s="4">
        <f t="shared" si="0"/>
        <v>100416.66666666667</v>
      </c>
      <c r="D47">
        <v>245</v>
      </c>
      <c r="E47">
        <v>25.520833333333332</v>
      </c>
      <c r="F47">
        <v>26</v>
      </c>
      <c r="G47">
        <v>37</v>
      </c>
      <c r="H47">
        <v>336.36363636363637</v>
      </c>
    </row>
    <row r="48" spans="1:8" x14ac:dyDescent="0.2">
      <c r="A48" s="6">
        <v>42094</v>
      </c>
      <c r="B48">
        <v>960</v>
      </c>
      <c r="C48" s="4">
        <f t="shared" si="0"/>
        <v>80000</v>
      </c>
      <c r="D48">
        <v>-113</v>
      </c>
      <c r="E48">
        <v>-10.531220876048462</v>
      </c>
      <c r="F48">
        <v>-11</v>
      </c>
      <c r="G48">
        <v>-16</v>
      </c>
      <c r="H48">
        <v>-320</v>
      </c>
    </row>
    <row r="49" spans="1:8" x14ac:dyDescent="0.2">
      <c r="A49" s="6">
        <v>42004</v>
      </c>
      <c r="B49">
        <v>1073</v>
      </c>
      <c r="C49" s="4">
        <f t="shared" si="0"/>
        <v>89416.666666666672</v>
      </c>
      <c r="D49">
        <v>50</v>
      </c>
      <c r="E49">
        <v>4.8875855327468232</v>
      </c>
      <c r="F49">
        <v>5</v>
      </c>
      <c r="G49">
        <v>-7</v>
      </c>
      <c r="H49">
        <v>-58.333333333333336</v>
      </c>
    </row>
    <row r="50" spans="1:8" x14ac:dyDescent="0.2">
      <c r="A50" s="6">
        <v>41912</v>
      </c>
      <c r="B50">
        <v>1023</v>
      </c>
      <c r="C50" s="4">
        <f t="shared" si="0"/>
        <v>85250</v>
      </c>
      <c r="D50">
        <v>112</v>
      </c>
      <c r="E50">
        <v>12.294182217343579</v>
      </c>
      <c r="F50">
        <v>12</v>
      </c>
      <c r="G50">
        <v>18</v>
      </c>
      <c r="H50">
        <v>300</v>
      </c>
    </row>
    <row r="51" spans="1:8" x14ac:dyDescent="0.2">
      <c r="A51" s="6">
        <v>41820</v>
      </c>
      <c r="B51">
        <v>911</v>
      </c>
      <c r="C51" s="4">
        <f t="shared" si="0"/>
        <v>75916.666666666672</v>
      </c>
      <c r="D51">
        <v>-59</v>
      </c>
      <c r="E51">
        <v>-6.0824742268041234</v>
      </c>
      <c r="F51">
        <v>-6</v>
      </c>
      <c r="G51">
        <v>-3</v>
      </c>
      <c r="H51">
        <v>-100</v>
      </c>
    </row>
    <row r="52" spans="1:8" x14ac:dyDescent="0.2">
      <c r="A52" s="6">
        <v>41729</v>
      </c>
      <c r="B52">
        <v>970</v>
      </c>
      <c r="C52" s="4">
        <f t="shared" si="0"/>
        <v>80833.333333333328</v>
      </c>
      <c r="D52">
        <v>-32</v>
      </c>
      <c r="E52">
        <v>-3.1936127744510978</v>
      </c>
      <c r="F52">
        <v>-3</v>
      </c>
      <c r="G52">
        <v>-21</v>
      </c>
      <c r="H52">
        <v>-116.66666666666667</v>
      </c>
    </row>
    <row r="53" spans="1:8" x14ac:dyDescent="0.2">
      <c r="A53" s="6">
        <v>41639</v>
      </c>
      <c r="B53">
        <v>1002</v>
      </c>
      <c r="C53" s="4">
        <f t="shared" si="0"/>
        <v>83500</v>
      </c>
      <c r="D53">
        <v>152</v>
      </c>
      <c r="E53">
        <v>17.882352941176471</v>
      </c>
      <c r="F53">
        <v>18</v>
      </c>
      <c r="G53">
        <v>17</v>
      </c>
      <c r="H53">
        <v>1700</v>
      </c>
    </row>
    <row r="54" spans="1:8" x14ac:dyDescent="0.2">
      <c r="A54" s="6">
        <v>41547</v>
      </c>
      <c r="B54">
        <v>850</v>
      </c>
      <c r="C54" s="4">
        <f t="shared" si="0"/>
        <v>70833.333333333328</v>
      </c>
      <c r="D54">
        <v>11</v>
      </c>
      <c r="E54">
        <v>1.3110846245530394</v>
      </c>
      <c r="F54">
        <v>1</v>
      </c>
      <c r="G54">
        <v>18</v>
      </c>
      <c r="H54">
        <v>105.88235294117646</v>
      </c>
    </row>
    <row r="55" spans="1:8" x14ac:dyDescent="0.2">
      <c r="A55" s="6">
        <v>41453</v>
      </c>
      <c r="B55">
        <v>839</v>
      </c>
      <c r="C55" s="4">
        <f t="shared" si="0"/>
        <v>69916.666666666672</v>
      </c>
      <c r="D55">
        <v>-171</v>
      </c>
      <c r="E55">
        <v>-16.93069306930693</v>
      </c>
      <c r="F55">
        <v>-17</v>
      </c>
      <c r="G55">
        <v>-20</v>
      </c>
      <c r="H55">
        <v>-666.66666666666663</v>
      </c>
    </row>
    <row r="56" spans="1:8" x14ac:dyDescent="0.2">
      <c r="A56" s="6">
        <v>41362</v>
      </c>
      <c r="B56">
        <v>1010</v>
      </c>
      <c r="C56" s="4">
        <f t="shared" si="0"/>
        <v>84166.666666666672</v>
      </c>
      <c r="D56">
        <v>34</v>
      </c>
      <c r="E56">
        <v>3.4836065573770494</v>
      </c>
      <c r="F56">
        <v>3</v>
      </c>
      <c r="G56">
        <v>-12</v>
      </c>
      <c r="H56">
        <v>-80</v>
      </c>
    </row>
    <row r="57" spans="1:8" x14ac:dyDescent="0.2">
      <c r="A57" s="6">
        <v>41274</v>
      </c>
      <c r="B57">
        <v>976</v>
      </c>
      <c r="C57" s="4">
        <f t="shared" si="0"/>
        <v>81333.333333333328</v>
      </c>
      <c r="D57">
        <v>129</v>
      </c>
      <c r="E57">
        <v>15.230224321133411</v>
      </c>
      <c r="F57">
        <v>15</v>
      </c>
      <c r="G57">
        <v>3</v>
      </c>
      <c r="H57">
        <v>25</v>
      </c>
    </row>
    <row r="58" spans="1:8" x14ac:dyDescent="0.2">
      <c r="A58" s="6">
        <v>41180</v>
      </c>
      <c r="B58">
        <v>847</v>
      </c>
      <c r="C58" s="4">
        <f t="shared" si="0"/>
        <v>70583.333333333328</v>
      </c>
      <c r="D58">
        <v>90</v>
      </c>
      <c r="E58">
        <v>11.889035667107001</v>
      </c>
      <c r="F58">
        <v>12</v>
      </c>
      <c r="G58">
        <v>3</v>
      </c>
      <c r="H58">
        <v>33.333333333333336</v>
      </c>
    </row>
    <row r="59" spans="1:8" x14ac:dyDescent="0.2">
      <c r="A59" s="6">
        <v>41089</v>
      </c>
      <c r="B59">
        <v>757</v>
      </c>
      <c r="C59" s="4">
        <f t="shared" si="0"/>
        <v>63083.333333333336</v>
      </c>
      <c r="D59">
        <v>62</v>
      </c>
      <c r="E59">
        <v>8.9208633093525176</v>
      </c>
      <c r="F59">
        <v>9</v>
      </c>
      <c r="G59">
        <v>9</v>
      </c>
      <c r="H59" t="e">
        <v>#DIV/0!</v>
      </c>
    </row>
    <row r="60" spans="1:8" x14ac:dyDescent="0.2">
      <c r="A60" s="6">
        <v>40998</v>
      </c>
      <c r="B60">
        <v>695</v>
      </c>
      <c r="C60" s="4">
        <f t="shared" si="0"/>
        <v>57916.666666666664</v>
      </c>
      <c r="D60">
        <v>1</v>
      </c>
      <c r="E60">
        <v>0.14409221902017291</v>
      </c>
      <c r="F60">
        <v>0</v>
      </c>
      <c r="G60">
        <v>-7</v>
      </c>
      <c r="H60">
        <v>-100</v>
      </c>
    </row>
    <row r="61" spans="1:8" x14ac:dyDescent="0.2">
      <c r="A61" s="6">
        <v>40907</v>
      </c>
      <c r="B61">
        <v>694</v>
      </c>
      <c r="C61" s="4">
        <f t="shared" si="0"/>
        <v>57833.333333333336</v>
      </c>
      <c r="D61">
        <v>44</v>
      </c>
      <c r="E61">
        <v>6.7692307692307692</v>
      </c>
      <c r="F61">
        <v>7</v>
      </c>
      <c r="G61">
        <v>0</v>
      </c>
      <c r="H61">
        <v>0</v>
      </c>
    </row>
    <row r="62" spans="1:8" x14ac:dyDescent="0.2">
      <c r="A62" s="6">
        <v>40816</v>
      </c>
      <c r="B62">
        <v>650</v>
      </c>
      <c r="C62" s="4">
        <f t="shared" si="0"/>
        <v>54166.666666666664</v>
      </c>
      <c r="D62">
        <v>42</v>
      </c>
      <c r="E62">
        <v>6.9078947368421053</v>
      </c>
      <c r="F62">
        <v>7</v>
      </c>
      <c r="G62">
        <v>6</v>
      </c>
      <c r="H62">
        <v>600</v>
      </c>
    </row>
    <row r="63" spans="1:8" x14ac:dyDescent="0.2">
      <c r="A63" s="6">
        <v>40724</v>
      </c>
      <c r="B63">
        <v>608</v>
      </c>
      <c r="C63" s="4">
        <f t="shared" si="0"/>
        <v>50666.666666666664</v>
      </c>
      <c r="D63">
        <v>8</v>
      </c>
      <c r="E63">
        <v>1.3333333333333333</v>
      </c>
      <c r="F63">
        <v>1</v>
      </c>
      <c r="G63">
        <v>-10</v>
      </c>
      <c r="H63">
        <v>-90.909090909090907</v>
      </c>
    </row>
    <row r="64" spans="1:8" x14ac:dyDescent="0.2">
      <c r="A64" s="6">
        <v>40633</v>
      </c>
      <c r="B64">
        <v>600</v>
      </c>
      <c r="C64" s="4">
        <f t="shared" si="0"/>
        <v>50000</v>
      </c>
      <c r="D64">
        <v>61</v>
      </c>
      <c r="E64">
        <v>11.317254174397032</v>
      </c>
      <c r="F64">
        <v>11</v>
      </c>
      <c r="G64">
        <v>20</v>
      </c>
      <c r="H64">
        <v>222.22222222222223</v>
      </c>
    </row>
    <row r="65" spans="1:8" x14ac:dyDescent="0.2">
      <c r="A65" s="6">
        <v>40543</v>
      </c>
      <c r="B65">
        <v>539</v>
      </c>
      <c r="C65" s="4">
        <f t="shared" si="0"/>
        <v>44916.666666666664</v>
      </c>
      <c r="D65">
        <v>-55</v>
      </c>
      <c r="E65">
        <v>-9.2592592592592595</v>
      </c>
      <c r="F65">
        <v>-9</v>
      </c>
      <c r="G65">
        <v>-20</v>
      </c>
      <c r="H65">
        <v>-181.81818181818181</v>
      </c>
    </row>
    <row r="66" spans="1:8" x14ac:dyDescent="0.2">
      <c r="A66" s="6">
        <v>40451</v>
      </c>
      <c r="B66">
        <v>594</v>
      </c>
      <c r="C66" s="4">
        <f t="shared" si="0"/>
        <v>49500</v>
      </c>
      <c r="D66">
        <v>58</v>
      </c>
      <c r="E66">
        <v>10.82089552238806</v>
      </c>
      <c r="F66">
        <v>11</v>
      </c>
      <c r="G66">
        <v>27</v>
      </c>
      <c r="H66">
        <v>168.75</v>
      </c>
    </row>
    <row r="67" spans="1:8" x14ac:dyDescent="0.2">
      <c r="A67" s="6">
        <v>40359</v>
      </c>
      <c r="B67">
        <v>536</v>
      </c>
      <c r="C67" s="4">
        <f t="shared" si="0"/>
        <v>44666.666666666664</v>
      </c>
      <c r="D67">
        <v>-100</v>
      </c>
      <c r="E67">
        <v>-15.723270440251572</v>
      </c>
      <c r="F67">
        <v>-16</v>
      </c>
      <c r="G67">
        <v>-25</v>
      </c>
      <c r="H67">
        <v>-277.77777777777777</v>
      </c>
    </row>
    <row r="68" spans="1:8" x14ac:dyDescent="0.2">
      <c r="A68" s="6">
        <v>40268</v>
      </c>
      <c r="B68">
        <v>636</v>
      </c>
      <c r="C68" s="4">
        <f t="shared" si="0"/>
        <v>53000</v>
      </c>
      <c r="D68">
        <v>55</v>
      </c>
      <c r="E68">
        <v>9.4664371772805502</v>
      </c>
      <c r="F68">
        <v>9</v>
      </c>
      <c r="G68">
        <v>10</v>
      </c>
      <c r="H68">
        <v>1000</v>
      </c>
    </row>
    <row r="69" spans="1:8" x14ac:dyDescent="0.2">
      <c r="A69" s="6">
        <v>40178</v>
      </c>
      <c r="B69">
        <v>581</v>
      </c>
      <c r="C69" s="4">
        <f t="shared" si="0"/>
        <v>48416.666666666664</v>
      </c>
      <c r="D69">
        <v>-4</v>
      </c>
      <c r="E69">
        <v>-0.68376068376068377</v>
      </c>
      <c r="F69">
        <v>-1</v>
      </c>
      <c r="G69">
        <v>-1</v>
      </c>
      <c r="H69" t="e">
        <v>#DIV/0!</v>
      </c>
    </row>
    <row r="70" spans="1:8" x14ac:dyDescent="0.2">
      <c r="A70" s="6">
        <v>40086</v>
      </c>
      <c r="B70">
        <v>585</v>
      </c>
      <c r="C70" s="4">
        <f t="shared" si="0"/>
        <v>48750</v>
      </c>
      <c r="D70">
        <v>0</v>
      </c>
      <c r="E70">
        <v>0</v>
      </c>
      <c r="F70">
        <v>0</v>
      </c>
      <c r="G70">
        <v>-16</v>
      </c>
      <c r="H70">
        <v>-100</v>
      </c>
    </row>
    <row r="71" spans="1:8" x14ac:dyDescent="0.2">
      <c r="A71" s="6">
        <v>39994</v>
      </c>
      <c r="B71">
        <v>585</v>
      </c>
      <c r="C71" s="4">
        <f t="shared" si="0"/>
        <v>48750</v>
      </c>
      <c r="D71">
        <v>80</v>
      </c>
      <c r="E71">
        <v>15.841584158415841</v>
      </c>
      <c r="F71">
        <v>16</v>
      </c>
      <c r="G71">
        <v>26</v>
      </c>
      <c r="H71">
        <v>260</v>
      </c>
    </row>
    <row r="72" spans="1:8" x14ac:dyDescent="0.2">
      <c r="A72" s="6">
        <v>39903</v>
      </c>
      <c r="B72">
        <v>505</v>
      </c>
      <c r="C72" s="4">
        <f t="shared" ref="C72:C85" si="1">B72*1000/12</f>
        <v>42083.333333333336</v>
      </c>
      <c r="D72">
        <v>-55</v>
      </c>
      <c r="E72">
        <v>-9.8214285714285712</v>
      </c>
      <c r="F72">
        <v>-10</v>
      </c>
      <c r="G72">
        <v>22</v>
      </c>
      <c r="H72">
        <v>68.75</v>
      </c>
    </row>
    <row r="73" spans="1:8" x14ac:dyDescent="0.2">
      <c r="A73" s="6">
        <v>39813</v>
      </c>
      <c r="B73">
        <v>560</v>
      </c>
      <c r="C73" s="4">
        <f t="shared" si="1"/>
        <v>46666.666666666664</v>
      </c>
      <c r="D73">
        <v>-260</v>
      </c>
      <c r="E73">
        <v>-31.707317073170731</v>
      </c>
      <c r="F73">
        <v>-32</v>
      </c>
      <c r="G73">
        <v>-10</v>
      </c>
      <c r="H73">
        <v>-45.454545454545453</v>
      </c>
    </row>
    <row r="74" spans="1:8" x14ac:dyDescent="0.2">
      <c r="A74" s="6">
        <v>39721</v>
      </c>
      <c r="B74">
        <v>820</v>
      </c>
      <c r="C74" s="4">
        <f t="shared" si="1"/>
        <v>68333.333333333328</v>
      </c>
      <c r="D74">
        <v>-226</v>
      </c>
      <c r="E74">
        <v>-21.606118546845124</v>
      </c>
      <c r="F74">
        <v>-22</v>
      </c>
      <c r="G74">
        <v>-26</v>
      </c>
      <c r="H74">
        <v>-650</v>
      </c>
    </row>
    <row r="75" spans="1:8" x14ac:dyDescent="0.2">
      <c r="A75" s="6">
        <v>39629</v>
      </c>
      <c r="B75">
        <v>1046</v>
      </c>
      <c r="C75" s="4">
        <f t="shared" si="1"/>
        <v>87166.666666666672</v>
      </c>
      <c r="D75">
        <v>41</v>
      </c>
      <c r="E75">
        <v>4.0796019900497509</v>
      </c>
      <c r="F75">
        <v>4</v>
      </c>
      <c r="G75">
        <v>7</v>
      </c>
      <c r="H75">
        <v>233.33333333333334</v>
      </c>
    </row>
    <row r="76" spans="1:8" x14ac:dyDescent="0.2">
      <c r="A76" s="6">
        <v>39538</v>
      </c>
      <c r="B76">
        <v>1005</v>
      </c>
      <c r="C76" s="4">
        <f t="shared" si="1"/>
        <v>83750</v>
      </c>
      <c r="D76">
        <v>-32</v>
      </c>
      <c r="E76">
        <v>-3.085824493731919</v>
      </c>
      <c r="F76">
        <v>-3</v>
      </c>
      <c r="G76">
        <v>9</v>
      </c>
      <c r="H76">
        <v>75</v>
      </c>
    </row>
    <row r="77" spans="1:8" x14ac:dyDescent="0.2">
      <c r="A77" s="6">
        <v>39447</v>
      </c>
      <c r="B77">
        <v>1037</v>
      </c>
      <c r="C77" s="4">
        <f t="shared" si="1"/>
        <v>86416.666666666672</v>
      </c>
      <c r="D77">
        <v>-146</v>
      </c>
      <c r="E77">
        <v>-12.341504649196956</v>
      </c>
      <c r="F77">
        <v>-12</v>
      </c>
      <c r="G77">
        <v>6</v>
      </c>
      <c r="H77">
        <v>33.333333333333336</v>
      </c>
    </row>
    <row r="78" spans="1:8" x14ac:dyDescent="0.2">
      <c r="A78" s="6">
        <v>39353</v>
      </c>
      <c r="B78">
        <v>1183</v>
      </c>
      <c r="C78" s="4">
        <f t="shared" si="1"/>
        <v>98583.333333333328</v>
      </c>
      <c r="D78">
        <v>-265</v>
      </c>
      <c r="E78">
        <v>-18.30110497237569</v>
      </c>
      <c r="F78">
        <v>-18</v>
      </c>
      <c r="G78">
        <v>-15</v>
      </c>
      <c r="H78">
        <v>-500</v>
      </c>
    </row>
    <row r="79" spans="1:8" x14ac:dyDescent="0.2">
      <c r="A79" s="6">
        <v>39262</v>
      </c>
      <c r="B79">
        <v>1448</v>
      </c>
      <c r="C79" s="4">
        <f t="shared" si="1"/>
        <v>120666.66666666667</v>
      </c>
      <c r="D79">
        <v>-47</v>
      </c>
      <c r="E79">
        <v>-3.1438127090301005</v>
      </c>
      <c r="F79">
        <v>-3</v>
      </c>
      <c r="G79">
        <v>6</v>
      </c>
      <c r="H79">
        <v>66.666666666666671</v>
      </c>
    </row>
    <row r="80" spans="1:8" x14ac:dyDescent="0.2">
      <c r="A80" s="6">
        <v>39171</v>
      </c>
      <c r="B80">
        <v>1495</v>
      </c>
      <c r="C80" s="4">
        <f t="shared" si="1"/>
        <v>124583.33333333333</v>
      </c>
      <c r="D80">
        <v>-154</v>
      </c>
      <c r="E80">
        <v>-9.3389933292904797</v>
      </c>
      <c r="F80">
        <v>-9</v>
      </c>
      <c r="G80">
        <v>-5</v>
      </c>
      <c r="H80">
        <v>-125</v>
      </c>
    </row>
    <row r="81" spans="1:8" x14ac:dyDescent="0.2">
      <c r="A81" s="6">
        <v>39080</v>
      </c>
      <c r="B81">
        <v>1649</v>
      </c>
      <c r="C81" s="4">
        <f t="shared" si="1"/>
        <v>137416.66666666666</v>
      </c>
      <c r="D81">
        <v>-71</v>
      </c>
      <c r="E81">
        <v>-4.1279069767441863</v>
      </c>
      <c r="F81">
        <v>-4</v>
      </c>
      <c r="G81">
        <v>1</v>
      </c>
      <c r="H81">
        <v>20</v>
      </c>
    </row>
    <row r="82" spans="1:8" x14ac:dyDescent="0.2">
      <c r="A82" s="6">
        <v>38989</v>
      </c>
      <c r="B82">
        <v>1720</v>
      </c>
      <c r="C82" s="4">
        <f t="shared" si="1"/>
        <v>143333.33333333334</v>
      </c>
      <c r="D82">
        <v>-82</v>
      </c>
      <c r="E82">
        <v>-4.5504994450610434</v>
      </c>
      <c r="F82">
        <v>-5</v>
      </c>
      <c r="G82">
        <v>3</v>
      </c>
      <c r="H82">
        <v>37.5</v>
      </c>
    </row>
    <row r="83" spans="1:8" x14ac:dyDescent="0.2">
      <c r="A83" s="6">
        <v>38898</v>
      </c>
      <c r="B83">
        <v>1802</v>
      </c>
      <c r="C83" s="4">
        <f t="shared" si="1"/>
        <v>150166.66666666666</v>
      </c>
      <c r="D83">
        <v>-167</v>
      </c>
      <c r="E83">
        <v>-8.4814626714068062</v>
      </c>
      <c r="F83">
        <v>-8</v>
      </c>
      <c r="G83">
        <v>-7</v>
      </c>
      <c r="H83">
        <v>-700</v>
      </c>
    </row>
    <row r="84" spans="1:8" x14ac:dyDescent="0.2">
      <c r="A84" s="6">
        <v>38807</v>
      </c>
      <c r="B84">
        <v>1969</v>
      </c>
      <c r="C84" s="4">
        <f t="shared" si="1"/>
        <v>164083.33333333334</v>
      </c>
      <c r="D84">
        <v>-25</v>
      </c>
      <c r="E84">
        <v>-1.2537612838515546</v>
      </c>
      <c r="F84">
        <v>-1</v>
      </c>
      <c r="G84">
        <v>6</v>
      </c>
      <c r="H84">
        <v>85.714285714285708</v>
      </c>
    </row>
    <row r="85" spans="1:8" x14ac:dyDescent="0.2">
      <c r="A85" s="6">
        <v>38716</v>
      </c>
      <c r="B85">
        <v>1994</v>
      </c>
      <c r="C85" s="4">
        <f t="shared" si="1"/>
        <v>166166.66666666666</v>
      </c>
      <c r="F85">
        <v>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E6A8-9D28-423C-8D7D-093732D1FEBD}">
  <dimension ref="A1:I85"/>
  <sheetViews>
    <sheetView workbookViewId="0">
      <selection activeCell="C32" sqref="C32"/>
    </sheetView>
  </sheetViews>
  <sheetFormatPr baseColWidth="10" defaultColWidth="8.83203125" defaultRowHeight="15" outlineLevelCol="1" x14ac:dyDescent="0.2"/>
  <cols>
    <col min="1" max="1" width="12.5" customWidth="1"/>
    <col min="2" max="2" width="36.5" customWidth="1"/>
    <col min="3" max="3" width="25.5" customWidth="1"/>
    <col min="4" max="8" width="9.1640625" hidden="1" customWidth="1" outlineLevel="1"/>
    <col min="9" max="9" width="9.1640625" collapsed="1"/>
  </cols>
  <sheetData>
    <row r="1" spans="1:9" x14ac:dyDescent="0.2">
      <c r="A1" t="s">
        <v>0</v>
      </c>
      <c r="B1" t="s">
        <v>57</v>
      </c>
    </row>
    <row r="2" spans="1:9" x14ac:dyDescent="0.2">
      <c r="A2" t="s">
        <v>2</v>
      </c>
      <c r="B2" s="5">
        <v>38716</v>
      </c>
      <c r="C2" s="5"/>
    </row>
    <row r="3" spans="1:9" x14ac:dyDescent="0.2">
      <c r="A3" t="s">
        <v>3</v>
      </c>
      <c r="B3" s="5">
        <v>45838</v>
      </c>
      <c r="C3" s="5"/>
    </row>
    <row r="4" spans="1:9" x14ac:dyDescent="0.2">
      <c r="A4" t="s">
        <v>4</v>
      </c>
      <c r="B4" t="s">
        <v>19</v>
      </c>
    </row>
    <row r="6" spans="1:9" x14ac:dyDescent="0.2">
      <c r="A6" t="s">
        <v>6</v>
      </c>
      <c r="B6" t="s">
        <v>58</v>
      </c>
      <c r="C6" t="s">
        <v>59</v>
      </c>
      <c r="D6" t="s">
        <v>8</v>
      </c>
      <c r="E6" t="s">
        <v>9</v>
      </c>
      <c r="F6" t="s">
        <v>10</v>
      </c>
      <c r="G6" t="s">
        <v>8</v>
      </c>
      <c r="H6" t="s">
        <v>9</v>
      </c>
      <c r="I6" t="s">
        <v>14</v>
      </c>
    </row>
    <row r="7" spans="1:9" x14ac:dyDescent="0.2">
      <c r="A7" s="6">
        <v>45838</v>
      </c>
      <c r="B7">
        <v>676</v>
      </c>
      <c r="C7" s="4">
        <f>B7*1000/12</f>
        <v>56333.333333333336</v>
      </c>
      <c r="D7">
        <v>16</v>
      </c>
      <c r="E7">
        <v>2.4242424242424243</v>
      </c>
      <c r="F7">
        <v>2.42</v>
      </c>
      <c r="G7">
        <v>10.5</v>
      </c>
      <c r="H7">
        <v>129.95049504950495</v>
      </c>
    </row>
    <row r="8" spans="1:9" x14ac:dyDescent="0.2">
      <c r="A8" s="6">
        <v>45747</v>
      </c>
      <c r="B8">
        <v>660</v>
      </c>
      <c r="C8" s="4">
        <f t="shared" ref="C8:C71" si="0">B8*1000/12</f>
        <v>55000</v>
      </c>
      <c r="D8">
        <v>-58</v>
      </c>
      <c r="E8">
        <v>-8.0779944289693599</v>
      </c>
      <c r="F8">
        <v>-8.08</v>
      </c>
      <c r="G8">
        <v>-8.2200000000000006</v>
      </c>
      <c r="H8">
        <v>-5871.4285714285716</v>
      </c>
    </row>
    <row r="9" spans="1:9" x14ac:dyDescent="0.2">
      <c r="A9" s="6">
        <v>45657</v>
      </c>
      <c r="B9">
        <v>718</v>
      </c>
      <c r="C9" s="4">
        <f t="shared" si="0"/>
        <v>59833.333333333336</v>
      </c>
      <c r="D9">
        <v>1</v>
      </c>
      <c r="E9">
        <v>0.1394700139470014</v>
      </c>
      <c r="F9">
        <v>0.14000000000000001</v>
      </c>
      <c r="G9">
        <v>-6.7200000000000006</v>
      </c>
      <c r="H9">
        <v>-97.959183673469397</v>
      </c>
    </row>
    <row r="10" spans="1:9" x14ac:dyDescent="0.2">
      <c r="A10" s="6">
        <v>45565</v>
      </c>
      <c r="B10">
        <v>717</v>
      </c>
      <c r="C10" s="4">
        <f t="shared" si="0"/>
        <v>59750</v>
      </c>
      <c r="D10">
        <v>46</v>
      </c>
      <c r="E10">
        <v>6.855439642324888</v>
      </c>
      <c r="F10">
        <v>6.86</v>
      </c>
      <c r="G10">
        <v>9.89</v>
      </c>
      <c r="H10">
        <v>326.40264026402645</v>
      </c>
    </row>
    <row r="11" spans="1:9" x14ac:dyDescent="0.2">
      <c r="A11" s="6">
        <v>45471</v>
      </c>
      <c r="B11">
        <v>671</v>
      </c>
      <c r="C11" s="4">
        <f t="shared" si="0"/>
        <v>55916.666666666664</v>
      </c>
      <c r="D11">
        <v>-21</v>
      </c>
      <c r="E11">
        <v>-3.0346820809248554</v>
      </c>
      <c r="F11">
        <v>-3.03</v>
      </c>
      <c r="G11">
        <v>-10.65</v>
      </c>
      <c r="H11">
        <v>-139.76377952755905</v>
      </c>
    </row>
    <row r="12" spans="1:9" x14ac:dyDescent="0.2">
      <c r="A12" s="6">
        <v>45380</v>
      </c>
      <c r="B12">
        <v>692</v>
      </c>
      <c r="C12" s="4">
        <f t="shared" si="0"/>
        <v>57666.666666666664</v>
      </c>
      <c r="D12">
        <v>49</v>
      </c>
      <c r="E12">
        <v>7.6205287713841372</v>
      </c>
      <c r="F12">
        <v>7.62</v>
      </c>
      <c r="G12">
        <v>13.2</v>
      </c>
      <c r="H12">
        <v>236.55913978494624</v>
      </c>
    </row>
    <row r="13" spans="1:9" x14ac:dyDescent="0.2">
      <c r="A13" s="6">
        <v>45289</v>
      </c>
      <c r="B13">
        <v>643</v>
      </c>
      <c r="C13" s="4">
        <f t="shared" si="0"/>
        <v>53583.333333333336</v>
      </c>
      <c r="D13">
        <v>-38</v>
      </c>
      <c r="E13">
        <v>-5.5800293685756239</v>
      </c>
      <c r="F13">
        <v>-5.58</v>
      </c>
      <c r="G13">
        <v>-6.62</v>
      </c>
      <c r="H13">
        <v>-636.53846153846155</v>
      </c>
    </row>
    <row r="14" spans="1:9" x14ac:dyDescent="0.2">
      <c r="A14" s="6">
        <v>45198</v>
      </c>
      <c r="B14">
        <v>681</v>
      </c>
      <c r="C14" s="4">
        <f t="shared" si="0"/>
        <v>56750</v>
      </c>
      <c r="D14">
        <v>7</v>
      </c>
      <c r="E14">
        <v>1.0385756676557865</v>
      </c>
      <c r="F14">
        <v>1.04</v>
      </c>
      <c r="G14">
        <v>-2.4899999999999998</v>
      </c>
      <c r="H14">
        <v>-70.538243626062325</v>
      </c>
    </row>
    <row r="15" spans="1:9" x14ac:dyDescent="0.2">
      <c r="A15" s="6">
        <v>45107</v>
      </c>
      <c r="B15">
        <v>674</v>
      </c>
      <c r="C15" s="4">
        <f t="shared" si="0"/>
        <v>56166.666666666664</v>
      </c>
      <c r="D15">
        <v>23</v>
      </c>
      <c r="E15">
        <v>3.5330261136712751</v>
      </c>
      <c r="F15">
        <v>3.53</v>
      </c>
      <c r="G15">
        <v>-1.3000000000000003</v>
      </c>
      <c r="H15">
        <v>-26.915113871635615</v>
      </c>
    </row>
    <row r="16" spans="1:9" x14ac:dyDescent="0.2">
      <c r="A16" s="6">
        <v>45016</v>
      </c>
      <c r="B16">
        <v>651</v>
      </c>
      <c r="C16" s="4">
        <f t="shared" si="0"/>
        <v>54250</v>
      </c>
      <c r="D16">
        <v>30</v>
      </c>
      <c r="E16">
        <v>4.8309178743961354</v>
      </c>
      <c r="F16">
        <v>4.83</v>
      </c>
      <c r="G16">
        <v>-7.67</v>
      </c>
      <c r="H16">
        <v>-61.36</v>
      </c>
    </row>
    <row r="17" spans="1:8" x14ac:dyDescent="0.2">
      <c r="A17" s="6">
        <v>44925</v>
      </c>
      <c r="B17">
        <v>621</v>
      </c>
      <c r="C17" s="4">
        <f t="shared" si="0"/>
        <v>51750</v>
      </c>
      <c r="D17">
        <v>69</v>
      </c>
      <c r="E17">
        <v>12.5</v>
      </c>
      <c r="F17">
        <v>12.5</v>
      </c>
      <c r="G17">
        <v>11.95</v>
      </c>
      <c r="H17">
        <v>2172.7272727272725</v>
      </c>
    </row>
    <row r="18" spans="1:8" x14ac:dyDescent="0.2">
      <c r="A18" s="6">
        <v>44834</v>
      </c>
      <c r="B18">
        <v>552</v>
      </c>
      <c r="C18" s="4">
        <f t="shared" si="0"/>
        <v>46000</v>
      </c>
      <c r="D18">
        <v>3</v>
      </c>
      <c r="E18">
        <v>0.54644808743169404</v>
      </c>
      <c r="F18">
        <v>0.55000000000000004</v>
      </c>
      <c r="G18">
        <v>24.3</v>
      </c>
      <c r="H18">
        <v>102.31578947368421</v>
      </c>
    </row>
    <row r="19" spans="1:8" x14ac:dyDescent="0.2">
      <c r="A19" s="6">
        <v>44742</v>
      </c>
      <c r="B19">
        <v>549</v>
      </c>
      <c r="C19" s="4">
        <f t="shared" si="0"/>
        <v>45750</v>
      </c>
      <c r="D19">
        <v>-171</v>
      </c>
      <c r="E19">
        <v>-23.75</v>
      </c>
      <c r="F19">
        <v>-23.75</v>
      </c>
      <c r="G19">
        <v>-11.02</v>
      </c>
      <c r="H19">
        <v>-86.567164179104481</v>
      </c>
    </row>
    <row r="20" spans="1:8" x14ac:dyDescent="0.2">
      <c r="A20" s="6">
        <v>44651</v>
      </c>
      <c r="B20">
        <v>720</v>
      </c>
      <c r="C20" s="4">
        <f t="shared" si="0"/>
        <v>60000</v>
      </c>
      <c r="D20">
        <v>-105</v>
      </c>
      <c r="E20">
        <v>-12.727272727272727</v>
      </c>
      <c r="F20">
        <v>-12.73</v>
      </c>
      <c r="G20">
        <v>-26.05</v>
      </c>
      <c r="H20">
        <v>-195.57057057057057</v>
      </c>
    </row>
    <row r="21" spans="1:8" x14ac:dyDescent="0.2">
      <c r="A21" s="6">
        <v>44561</v>
      </c>
      <c r="B21">
        <v>825</v>
      </c>
      <c r="C21" s="4">
        <f t="shared" si="0"/>
        <v>68750</v>
      </c>
      <c r="D21">
        <v>97</v>
      </c>
      <c r="E21">
        <v>13.324175824175825</v>
      </c>
      <c r="F21">
        <v>13.32</v>
      </c>
      <c r="G21">
        <v>8.57</v>
      </c>
      <c r="H21">
        <v>180.42105263157896</v>
      </c>
    </row>
    <row r="22" spans="1:8" x14ac:dyDescent="0.2">
      <c r="A22" s="6">
        <v>44469</v>
      </c>
      <c r="B22">
        <v>728</v>
      </c>
      <c r="C22" s="4">
        <f t="shared" si="0"/>
        <v>60666.666666666664</v>
      </c>
      <c r="D22">
        <v>33</v>
      </c>
      <c r="E22">
        <v>4.7482014388489207</v>
      </c>
      <c r="F22">
        <v>4.75</v>
      </c>
      <c r="G22">
        <v>24.96</v>
      </c>
      <c r="H22">
        <v>123.50321622958931</v>
      </c>
    </row>
    <row r="23" spans="1:8" x14ac:dyDescent="0.2">
      <c r="A23" s="6">
        <v>44377</v>
      </c>
      <c r="B23">
        <v>695</v>
      </c>
      <c r="C23" s="4">
        <f t="shared" si="0"/>
        <v>57916.666666666664</v>
      </c>
      <c r="D23">
        <v>-176</v>
      </c>
      <c r="E23">
        <v>-20.206659012629164</v>
      </c>
      <c r="F23">
        <v>-20.21</v>
      </c>
      <c r="G23">
        <v>-19.87</v>
      </c>
      <c r="H23">
        <v>-5844.1176470588234</v>
      </c>
    </row>
    <row r="24" spans="1:8" x14ac:dyDescent="0.2">
      <c r="A24" s="6">
        <v>44286</v>
      </c>
      <c r="B24">
        <v>871</v>
      </c>
      <c r="C24" s="4">
        <f t="shared" si="0"/>
        <v>72583.333333333328</v>
      </c>
      <c r="D24">
        <v>-3</v>
      </c>
      <c r="E24">
        <v>-0.34324942791762014</v>
      </c>
      <c r="F24">
        <v>-0.34</v>
      </c>
      <c r="G24">
        <v>10.39</v>
      </c>
      <c r="H24">
        <v>96.831314072693374</v>
      </c>
    </row>
    <row r="25" spans="1:8" x14ac:dyDescent="0.2">
      <c r="A25" s="6">
        <v>44196</v>
      </c>
      <c r="B25">
        <v>874</v>
      </c>
      <c r="C25" s="4">
        <f t="shared" si="0"/>
        <v>72833.333333333328</v>
      </c>
      <c r="D25">
        <v>-105</v>
      </c>
      <c r="E25">
        <v>-10.725229826353422</v>
      </c>
      <c r="F25">
        <v>-10.73</v>
      </c>
      <c r="G25">
        <v>-19.39</v>
      </c>
      <c r="H25">
        <v>-223.90300230946883</v>
      </c>
    </row>
    <row r="26" spans="1:8" x14ac:dyDescent="0.2">
      <c r="A26" s="6">
        <v>44104</v>
      </c>
      <c r="B26">
        <v>979</v>
      </c>
      <c r="C26" s="4">
        <f t="shared" si="0"/>
        <v>81583.333333333328</v>
      </c>
      <c r="D26">
        <v>78</v>
      </c>
      <c r="E26">
        <v>8.657047724750278</v>
      </c>
      <c r="F26">
        <v>8.66</v>
      </c>
      <c r="G26">
        <v>-35.269999999999996</v>
      </c>
      <c r="H26">
        <v>-80.286819940814922</v>
      </c>
    </row>
    <row r="27" spans="1:8" x14ac:dyDescent="0.2">
      <c r="A27" s="6">
        <v>44012</v>
      </c>
      <c r="B27">
        <v>901</v>
      </c>
      <c r="C27" s="4">
        <f t="shared" si="0"/>
        <v>75083.333333333328</v>
      </c>
      <c r="D27">
        <v>275</v>
      </c>
      <c r="E27">
        <v>43.929712460063897</v>
      </c>
      <c r="F27">
        <v>43.93</v>
      </c>
      <c r="G27">
        <v>54.5</v>
      </c>
      <c r="H27">
        <v>515.61021759697257</v>
      </c>
    </row>
    <row r="28" spans="1:8" x14ac:dyDescent="0.2">
      <c r="A28" s="6">
        <v>43921</v>
      </c>
      <c r="B28">
        <v>626</v>
      </c>
      <c r="C28" s="4">
        <f t="shared" si="0"/>
        <v>52166.666666666664</v>
      </c>
      <c r="D28">
        <v>-74</v>
      </c>
      <c r="E28">
        <v>-10.571428571428571</v>
      </c>
      <c r="F28">
        <v>-10.57</v>
      </c>
      <c r="G28">
        <v>-8.8800000000000008</v>
      </c>
      <c r="H28">
        <v>-525.44378698224864</v>
      </c>
    </row>
    <row r="29" spans="1:8" x14ac:dyDescent="0.2">
      <c r="A29" s="6">
        <v>43830</v>
      </c>
      <c r="B29">
        <v>700</v>
      </c>
      <c r="C29" s="4">
        <f t="shared" si="0"/>
        <v>58333.333333333336</v>
      </c>
      <c r="D29">
        <v>-12</v>
      </c>
      <c r="E29">
        <v>-1.6853932584269662</v>
      </c>
      <c r="F29">
        <v>-1.69</v>
      </c>
      <c r="G29">
        <v>0.64000000000000012</v>
      </c>
      <c r="H29">
        <v>27.467811158798288</v>
      </c>
    </row>
    <row r="30" spans="1:8" x14ac:dyDescent="0.2">
      <c r="A30" s="6">
        <v>43738</v>
      </c>
      <c r="B30">
        <v>712</v>
      </c>
      <c r="C30" s="4">
        <f t="shared" si="0"/>
        <v>59333.333333333336</v>
      </c>
      <c r="D30">
        <v>-17</v>
      </c>
      <c r="E30">
        <v>-2.3319615912208507</v>
      </c>
      <c r="F30">
        <v>-2.33</v>
      </c>
      <c r="G30">
        <v>-3.8600000000000003</v>
      </c>
      <c r="H30">
        <v>-252.28758169934645</v>
      </c>
    </row>
    <row r="31" spans="1:8" x14ac:dyDescent="0.2">
      <c r="A31" s="6">
        <v>43644</v>
      </c>
      <c r="B31">
        <v>729</v>
      </c>
      <c r="C31" s="4">
        <f t="shared" si="0"/>
        <v>60750</v>
      </c>
      <c r="D31">
        <v>11</v>
      </c>
      <c r="E31">
        <v>1.532033426183844</v>
      </c>
      <c r="F31">
        <v>1.53</v>
      </c>
      <c r="G31">
        <v>-29.97</v>
      </c>
      <c r="H31">
        <v>-95.142857142857139</v>
      </c>
    </row>
    <row r="32" spans="1:8" x14ac:dyDescent="0.2">
      <c r="A32" s="6">
        <v>43553</v>
      </c>
      <c r="B32">
        <v>718</v>
      </c>
      <c r="C32" s="4">
        <f t="shared" si="0"/>
        <v>59833.333333333336</v>
      </c>
      <c r="D32">
        <v>172</v>
      </c>
      <c r="E32">
        <v>31.501831501831504</v>
      </c>
      <c r="F32">
        <v>31.5</v>
      </c>
      <c r="G32">
        <v>39.74</v>
      </c>
      <c r="H32">
        <v>482.28155339805824</v>
      </c>
    </row>
    <row r="33" spans="1:8" x14ac:dyDescent="0.2">
      <c r="A33" s="6">
        <v>43465</v>
      </c>
      <c r="B33">
        <v>546</v>
      </c>
      <c r="C33" s="4">
        <f t="shared" si="0"/>
        <v>45500</v>
      </c>
      <c r="D33">
        <v>-49</v>
      </c>
      <c r="E33">
        <v>-8.235294117647058</v>
      </c>
      <c r="F33">
        <v>-8.24</v>
      </c>
      <c r="G33">
        <v>-1.79</v>
      </c>
      <c r="H33">
        <v>-27.751937984496124</v>
      </c>
    </row>
    <row r="34" spans="1:8" x14ac:dyDescent="0.2">
      <c r="A34" s="6">
        <v>43371</v>
      </c>
      <c r="B34">
        <v>595</v>
      </c>
      <c r="C34" s="4">
        <f t="shared" si="0"/>
        <v>49583.333333333336</v>
      </c>
      <c r="D34">
        <v>-41</v>
      </c>
      <c r="E34">
        <v>-6.4465408805031448</v>
      </c>
      <c r="F34">
        <v>-6.45</v>
      </c>
      <c r="G34">
        <v>-0.12000000000000011</v>
      </c>
      <c r="H34">
        <v>-1.8957345971563997</v>
      </c>
    </row>
    <row r="35" spans="1:8" x14ac:dyDescent="0.2">
      <c r="A35" s="6">
        <v>43280</v>
      </c>
      <c r="B35">
        <v>636</v>
      </c>
      <c r="C35" s="4">
        <f t="shared" si="0"/>
        <v>53000</v>
      </c>
      <c r="D35">
        <v>-43</v>
      </c>
      <c r="E35">
        <v>-6.3328424153166418</v>
      </c>
      <c r="F35">
        <v>-6.33</v>
      </c>
      <c r="G35">
        <v>-14.11</v>
      </c>
      <c r="H35">
        <v>-181.3624678663239</v>
      </c>
    </row>
    <row r="36" spans="1:8" x14ac:dyDescent="0.2">
      <c r="A36" s="6">
        <v>43189</v>
      </c>
      <c r="B36">
        <v>679</v>
      </c>
      <c r="C36" s="4">
        <f t="shared" si="0"/>
        <v>56583.333333333336</v>
      </c>
      <c r="D36">
        <v>49</v>
      </c>
      <c r="E36">
        <v>7.7777777777777777</v>
      </c>
      <c r="F36">
        <v>7.78</v>
      </c>
      <c r="G36">
        <v>8.8800000000000008</v>
      </c>
      <c r="H36">
        <v>807.27272727272737</v>
      </c>
    </row>
    <row r="37" spans="1:8" x14ac:dyDescent="0.2">
      <c r="A37" s="6">
        <v>43098</v>
      </c>
      <c r="B37">
        <v>630</v>
      </c>
      <c r="C37" s="4">
        <f t="shared" si="0"/>
        <v>52500</v>
      </c>
      <c r="D37">
        <v>-7</v>
      </c>
      <c r="E37">
        <v>-1.098901098901099</v>
      </c>
      <c r="F37">
        <v>-1.1000000000000001</v>
      </c>
      <c r="G37">
        <v>-4.01</v>
      </c>
      <c r="H37">
        <v>-137.80068728522335</v>
      </c>
    </row>
    <row r="38" spans="1:8" x14ac:dyDescent="0.2">
      <c r="A38" s="6">
        <v>43007</v>
      </c>
      <c r="B38">
        <v>637</v>
      </c>
      <c r="C38" s="4">
        <f t="shared" si="0"/>
        <v>53083.333333333336</v>
      </c>
      <c r="D38">
        <v>18</v>
      </c>
      <c r="E38">
        <v>2.9079159935379644</v>
      </c>
      <c r="F38">
        <v>2.91</v>
      </c>
      <c r="G38">
        <v>4.9700000000000006</v>
      </c>
      <c r="H38">
        <v>241.26213592233012</v>
      </c>
    </row>
    <row r="39" spans="1:8" x14ac:dyDescent="0.2">
      <c r="A39" s="6">
        <v>42916</v>
      </c>
      <c r="B39">
        <v>619</v>
      </c>
      <c r="C39" s="4">
        <f t="shared" si="0"/>
        <v>51583.333333333336</v>
      </c>
      <c r="D39">
        <v>-13</v>
      </c>
      <c r="E39">
        <v>-2.0569620253164556</v>
      </c>
      <c r="F39">
        <v>-2.06</v>
      </c>
      <c r="G39">
        <v>-14.72</v>
      </c>
      <c r="H39">
        <v>-116.27172195892575</v>
      </c>
    </row>
    <row r="40" spans="1:8" x14ac:dyDescent="0.2">
      <c r="A40" s="6">
        <v>42825</v>
      </c>
      <c r="B40">
        <v>632</v>
      </c>
      <c r="C40" s="4">
        <f t="shared" si="0"/>
        <v>52666.666666666664</v>
      </c>
      <c r="D40">
        <v>71</v>
      </c>
      <c r="E40">
        <v>12.655971479500892</v>
      </c>
      <c r="F40">
        <v>12.66</v>
      </c>
      <c r="G40">
        <v>12.120000000000001</v>
      </c>
      <c r="H40">
        <v>2244.4444444444443</v>
      </c>
    </row>
    <row r="41" spans="1:8" x14ac:dyDescent="0.2">
      <c r="A41" s="6">
        <v>42734</v>
      </c>
      <c r="B41">
        <v>561</v>
      </c>
      <c r="C41" s="4">
        <f t="shared" si="0"/>
        <v>46750</v>
      </c>
      <c r="D41">
        <v>3</v>
      </c>
      <c r="E41">
        <v>0.5376344086021505</v>
      </c>
      <c r="F41">
        <v>0.54</v>
      </c>
      <c r="G41">
        <v>0.36000000000000004</v>
      </c>
      <c r="H41">
        <v>200.00000000000006</v>
      </c>
    </row>
    <row r="42" spans="1:8" x14ac:dyDescent="0.2">
      <c r="A42" s="6">
        <v>42643</v>
      </c>
      <c r="B42">
        <v>558</v>
      </c>
      <c r="C42" s="4">
        <f t="shared" si="0"/>
        <v>46500</v>
      </c>
      <c r="D42">
        <v>1</v>
      </c>
      <c r="E42">
        <v>0.17953321364452424</v>
      </c>
      <c r="F42">
        <v>0.18</v>
      </c>
      <c r="G42">
        <v>-4.5200000000000005</v>
      </c>
      <c r="H42">
        <v>-96.170212765957459</v>
      </c>
    </row>
    <row r="43" spans="1:8" x14ac:dyDescent="0.2">
      <c r="A43" s="6">
        <v>42551</v>
      </c>
      <c r="B43">
        <v>557</v>
      </c>
      <c r="C43" s="4">
        <f t="shared" si="0"/>
        <v>46416.666666666664</v>
      </c>
      <c r="D43">
        <v>25</v>
      </c>
      <c r="E43">
        <v>4.6992481203007515</v>
      </c>
      <c r="F43">
        <v>4.7</v>
      </c>
      <c r="G43">
        <v>7.26</v>
      </c>
      <c r="H43">
        <v>283.59375</v>
      </c>
    </row>
    <row r="44" spans="1:8" x14ac:dyDescent="0.2">
      <c r="A44" s="6">
        <v>42460</v>
      </c>
      <c r="B44">
        <v>532</v>
      </c>
      <c r="C44" s="4">
        <f t="shared" si="0"/>
        <v>44333.333333333336</v>
      </c>
      <c r="D44">
        <v>-14</v>
      </c>
      <c r="E44">
        <v>-2.5641025641025643</v>
      </c>
      <c r="F44">
        <v>-2.56</v>
      </c>
      <c r="G44">
        <v>-22.299999999999997</v>
      </c>
      <c r="H44">
        <v>-112.96859169199594</v>
      </c>
    </row>
    <row r="45" spans="1:8" x14ac:dyDescent="0.2">
      <c r="A45" s="6">
        <v>42369</v>
      </c>
      <c r="B45">
        <v>546</v>
      </c>
      <c r="C45" s="4">
        <f t="shared" si="0"/>
        <v>45500</v>
      </c>
      <c r="D45">
        <v>90</v>
      </c>
      <c r="E45">
        <v>19.736842105263158</v>
      </c>
      <c r="F45">
        <v>19.739999999999998</v>
      </c>
      <c r="G45">
        <v>24.74</v>
      </c>
      <c r="H45">
        <v>494.8</v>
      </c>
    </row>
    <row r="46" spans="1:8" x14ac:dyDescent="0.2">
      <c r="A46" s="6">
        <v>42277</v>
      </c>
      <c r="B46">
        <v>456</v>
      </c>
      <c r="C46" s="4">
        <f t="shared" si="0"/>
        <v>38000</v>
      </c>
      <c r="D46">
        <v>-24</v>
      </c>
      <c r="E46">
        <v>-5</v>
      </c>
      <c r="F46">
        <v>-5</v>
      </c>
      <c r="G46">
        <v>-5</v>
      </c>
      <c r="H46" t="e">
        <v>#DIV/0!</v>
      </c>
    </row>
    <row r="47" spans="1:8" x14ac:dyDescent="0.2">
      <c r="A47" s="6">
        <v>42185</v>
      </c>
      <c r="B47">
        <v>480</v>
      </c>
      <c r="C47" s="4">
        <f t="shared" si="0"/>
        <v>40000</v>
      </c>
      <c r="D47">
        <v>0</v>
      </c>
      <c r="E47">
        <v>0</v>
      </c>
      <c r="F47">
        <v>0</v>
      </c>
      <c r="G47">
        <v>3.42</v>
      </c>
      <c r="H47">
        <v>100</v>
      </c>
    </row>
    <row r="48" spans="1:8" x14ac:dyDescent="0.2">
      <c r="A48" s="6">
        <v>42094</v>
      </c>
      <c r="B48">
        <v>480</v>
      </c>
      <c r="C48" s="4">
        <f t="shared" si="0"/>
        <v>40000</v>
      </c>
      <c r="D48">
        <v>-17</v>
      </c>
      <c r="E48">
        <v>-3.4205231388329982</v>
      </c>
      <c r="F48">
        <v>-3.42</v>
      </c>
      <c r="G48">
        <v>-9.16</v>
      </c>
      <c r="H48">
        <v>-159.58188153310104</v>
      </c>
    </row>
    <row r="49" spans="1:8" x14ac:dyDescent="0.2">
      <c r="A49" s="6">
        <v>42004</v>
      </c>
      <c r="B49">
        <v>497</v>
      </c>
      <c r="C49" s="4">
        <f t="shared" si="0"/>
        <v>41416.666666666664</v>
      </c>
      <c r="D49">
        <v>27</v>
      </c>
      <c r="E49">
        <v>5.7446808510638299</v>
      </c>
      <c r="F49">
        <v>5.74</v>
      </c>
      <c r="G49">
        <v>-6.6999999999999993</v>
      </c>
      <c r="H49">
        <v>-53.858520900321537</v>
      </c>
    </row>
    <row r="50" spans="1:8" x14ac:dyDescent="0.2">
      <c r="A50" s="6">
        <v>41912</v>
      </c>
      <c r="B50">
        <v>470</v>
      </c>
      <c r="C50" s="4">
        <f t="shared" si="0"/>
        <v>39166.666666666664</v>
      </c>
      <c r="D50">
        <v>52</v>
      </c>
      <c r="E50">
        <v>12.440191387559809</v>
      </c>
      <c r="F50">
        <v>12.44</v>
      </c>
      <c r="G50">
        <v>9.23</v>
      </c>
      <c r="H50">
        <v>287.53894080996884</v>
      </c>
    </row>
    <row r="51" spans="1:8" x14ac:dyDescent="0.2">
      <c r="A51" s="6">
        <v>41820</v>
      </c>
      <c r="B51">
        <v>418</v>
      </c>
      <c r="C51" s="4">
        <f t="shared" si="0"/>
        <v>34833.333333333336</v>
      </c>
      <c r="D51">
        <v>13</v>
      </c>
      <c r="E51">
        <v>3.2098765432098766</v>
      </c>
      <c r="F51">
        <v>3.21</v>
      </c>
      <c r="G51">
        <v>9.68</v>
      </c>
      <c r="H51">
        <v>149.61360123647606</v>
      </c>
    </row>
    <row r="52" spans="1:8" x14ac:dyDescent="0.2">
      <c r="A52" s="6">
        <v>41729</v>
      </c>
      <c r="B52">
        <v>405</v>
      </c>
      <c r="C52" s="4">
        <f t="shared" si="0"/>
        <v>33750</v>
      </c>
      <c r="D52">
        <v>-28</v>
      </c>
      <c r="E52">
        <v>-6.4665127020785222</v>
      </c>
      <c r="F52">
        <v>-6.47</v>
      </c>
      <c r="G52">
        <v>-13.91</v>
      </c>
      <c r="H52">
        <v>-186.96236559139783</v>
      </c>
    </row>
    <row r="53" spans="1:8" x14ac:dyDescent="0.2">
      <c r="A53" s="6">
        <v>41639</v>
      </c>
      <c r="B53">
        <v>433</v>
      </c>
      <c r="C53" s="4">
        <f t="shared" si="0"/>
        <v>36083.333333333336</v>
      </c>
      <c r="D53">
        <v>30</v>
      </c>
      <c r="E53">
        <v>7.4441687344913152</v>
      </c>
      <c r="F53">
        <v>7.44</v>
      </c>
      <c r="G53">
        <v>21.7</v>
      </c>
      <c r="H53">
        <v>152.17391304347825</v>
      </c>
    </row>
    <row r="54" spans="1:8" x14ac:dyDescent="0.2">
      <c r="A54" s="6">
        <v>41547</v>
      </c>
      <c r="B54">
        <v>403</v>
      </c>
      <c r="C54" s="4">
        <f t="shared" si="0"/>
        <v>33583.333333333336</v>
      </c>
      <c r="D54">
        <v>-67</v>
      </c>
      <c r="E54">
        <v>-14.25531914893617</v>
      </c>
      <c r="F54">
        <v>-14.26</v>
      </c>
      <c r="G54">
        <v>-20.12</v>
      </c>
      <c r="H54">
        <v>-343.34470989761093</v>
      </c>
    </row>
    <row r="55" spans="1:8" x14ac:dyDescent="0.2">
      <c r="A55" s="6">
        <v>41453</v>
      </c>
      <c r="B55">
        <v>470</v>
      </c>
      <c r="C55" s="4">
        <f t="shared" si="0"/>
        <v>39166.666666666664</v>
      </c>
      <c r="D55">
        <v>26</v>
      </c>
      <c r="E55">
        <v>5.8558558558558556</v>
      </c>
      <c r="F55">
        <v>5.86</v>
      </c>
      <c r="G55">
        <v>-5.419999999999999</v>
      </c>
      <c r="H55">
        <v>-48.049645390070914</v>
      </c>
    </row>
    <row r="56" spans="1:8" x14ac:dyDescent="0.2">
      <c r="A56" s="6">
        <v>41362</v>
      </c>
      <c r="B56">
        <v>444</v>
      </c>
      <c r="C56" s="4">
        <f t="shared" si="0"/>
        <v>37000</v>
      </c>
      <c r="D56">
        <v>45</v>
      </c>
      <c r="E56">
        <v>11.278195488721805</v>
      </c>
      <c r="F56">
        <v>11.28</v>
      </c>
      <c r="G56">
        <v>7.6399999999999988</v>
      </c>
      <c r="H56">
        <v>209.89010989010984</v>
      </c>
    </row>
    <row r="57" spans="1:8" x14ac:dyDescent="0.2">
      <c r="A57" s="6">
        <v>41274</v>
      </c>
      <c r="B57">
        <v>399</v>
      </c>
      <c r="C57" s="4">
        <f t="shared" si="0"/>
        <v>33250</v>
      </c>
      <c r="D57">
        <v>14</v>
      </c>
      <c r="E57">
        <v>3.6363636363636362</v>
      </c>
      <c r="F57">
        <v>3.64</v>
      </c>
      <c r="G57">
        <v>-3.3000000000000003</v>
      </c>
      <c r="H57">
        <v>-47.550432276657055</v>
      </c>
    </row>
    <row r="58" spans="1:8" x14ac:dyDescent="0.2">
      <c r="A58" s="6">
        <v>41180</v>
      </c>
      <c r="B58">
        <v>385</v>
      </c>
      <c r="C58" s="4">
        <f t="shared" si="0"/>
        <v>32083.333333333332</v>
      </c>
      <c r="D58">
        <v>25</v>
      </c>
      <c r="E58">
        <v>6.9444444444444446</v>
      </c>
      <c r="F58">
        <v>6.94</v>
      </c>
      <c r="G58">
        <v>5.25</v>
      </c>
      <c r="H58">
        <v>310.6508875739645</v>
      </c>
    </row>
    <row r="59" spans="1:8" x14ac:dyDescent="0.2">
      <c r="A59" s="6">
        <v>41089</v>
      </c>
      <c r="B59">
        <v>360</v>
      </c>
      <c r="C59" s="4">
        <f t="shared" si="0"/>
        <v>30000</v>
      </c>
      <c r="D59">
        <v>6</v>
      </c>
      <c r="E59">
        <v>1.6949152542372881</v>
      </c>
      <c r="F59">
        <v>1.69</v>
      </c>
      <c r="G59">
        <v>-2.12</v>
      </c>
      <c r="H59">
        <v>-55.643044619422568</v>
      </c>
    </row>
    <row r="60" spans="1:8" x14ac:dyDescent="0.2">
      <c r="A60" s="6">
        <v>40998</v>
      </c>
      <c r="B60">
        <v>354</v>
      </c>
      <c r="C60" s="4">
        <f t="shared" si="0"/>
        <v>29500</v>
      </c>
      <c r="D60">
        <v>13</v>
      </c>
      <c r="E60">
        <v>3.8123167155425222</v>
      </c>
      <c r="F60">
        <v>3.81</v>
      </c>
      <c r="G60">
        <v>-8.36</v>
      </c>
      <c r="H60">
        <v>-68.693508627773213</v>
      </c>
    </row>
    <row r="61" spans="1:8" x14ac:dyDescent="0.2">
      <c r="A61" s="6">
        <v>40907</v>
      </c>
      <c r="B61">
        <v>341</v>
      </c>
      <c r="C61" s="4">
        <f t="shared" si="0"/>
        <v>28416.666666666668</v>
      </c>
      <c r="D61">
        <v>37</v>
      </c>
      <c r="E61">
        <v>12.171052631578947</v>
      </c>
      <c r="F61">
        <v>12.17</v>
      </c>
      <c r="G61">
        <v>11.17</v>
      </c>
      <c r="H61">
        <v>1117</v>
      </c>
    </row>
    <row r="62" spans="1:8" x14ac:dyDescent="0.2">
      <c r="A62" s="6">
        <v>40816</v>
      </c>
      <c r="B62">
        <v>304</v>
      </c>
      <c r="C62" s="4">
        <f t="shared" si="0"/>
        <v>25333.333333333332</v>
      </c>
      <c r="D62">
        <v>3</v>
      </c>
      <c r="E62">
        <v>0.99667774086378735</v>
      </c>
      <c r="F62">
        <v>1</v>
      </c>
      <c r="G62">
        <v>0.66999999999999993</v>
      </c>
      <c r="H62">
        <v>203.03030303030303</v>
      </c>
    </row>
    <row r="63" spans="1:8" x14ac:dyDescent="0.2">
      <c r="A63" s="6">
        <v>40724</v>
      </c>
      <c r="B63">
        <v>301</v>
      </c>
      <c r="C63" s="4">
        <f t="shared" si="0"/>
        <v>25083.333333333332</v>
      </c>
      <c r="D63">
        <v>1</v>
      </c>
      <c r="E63">
        <v>0.33333333333333331</v>
      </c>
      <c r="F63">
        <v>0.33</v>
      </c>
      <c r="G63">
        <v>8.31</v>
      </c>
      <c r="H63">
        <v>104.13533834586465</v>
      </c>
    </row>
    <row r="64" spans="1:8" x14ac:dyDescent="0.2">
      <c r="A64" s="6">
        <v>40633</v>
      </c>
      <c r="B64">
        <v>300</v>
      </c>
      <c r="C64" s="4">
        <f t="shared" si="0"/>
        <v>25000</v>
      </c>
      <c r="D64">
        <v>-26</v>
      </c>
      <c r="E64">
        <v>-7.9754601226993866</v>
      </c>
      <c r="F64">
        <v>-7.98</v>
      </c>
      <c r="G64">
        <v>-10.82</v>
      </c>
      <c r="H64">
        <v>-380.98591549295776</v>
      </c>
    </row>
    <row r="65" spans="1:8" x14ac:dyDescent="0.2">
      <c r="A65" s="6">
        <v>40543</v>
      </c>
      <c r="B65">
        <v>326</v>
      </c>
      <c r="C65" s="4">
        <f t="shared" si="0"/>
        <v>27166.666666666668</v>
      </c>
      <c r="D65">
        <v>9</v>
      </c>
      <c r="E65">
        <v>2.8391167192429023</v>
      </c>
      <c r="F65">
        <v>2.84</v>
      </c>
      <c r="G65">
        <v>-1.0900000000000003</v>
      </c>
      <c r="H65">
        <v>-27.73536895674301</v>
      </c>
    </row>
    <row r="66" spans="1:8" x14ac:dyDescent="0.2">
      <c r="A66" s="6">
        <v>40451</v>
      </c>
      <c r="B66">
        <v>317</v>
      </c>
      <c r="C66" s="4">
        <f t="shared" si="0"/>
        <v>26416.666666666668</v>
      </c>
      <c r="D66">
        <v>12</v>
      </c>
      <c r="E66">
        <v>3.9344262295081966</v>
      </c>
      <c r="F66">
        <v>3.93</v>
      </c>
      <c r="G66">
        <v>23.88</v>
      </c>
      <c r="H66">
        <v>119.69924812030075</v>
      </c>
    </row>
    <row r="67" spans="1:8" x14ac:dyDescent="0.2">
      <c r="A67" s="6">
        <v>40359</v>
      </c>
      <c r="B67">
        <v>305</v>
      </c>
      <c r="C67" s="4">
        <f t="shared" si="0"/>
        <v>25416.666666666668</v>
      </c>
      <c r="D67">
        <v>-76</v>
      </c>
      <c r="E67">
        <v>-19.947506561679791</v>
      </c>
      <c r="F67">
        <v>-19.95</v>
      </c>
      <c r="G67">
        <v>-28.189999999999998</v>
      </c>
      <c r="H67">
        <v>-342.11165048543688</v>
      </c>
    </row>
    <row r="68" spans="1:8" x14ac:dyDescent="0.2">
      <c r="A68" s="6">
        <v>40268</v>
      </c>
      <c r="B68">
        <v>381</v>
      </c>
      <c r="C68" s="4">
        <f t="shared" si="0"/>
        <v>31750</v>
      </c>
      <c r="D68">
        <v>29</v>
      </c>
      <c r="E68">
        <v>8.2386363636363633</v>
      </c>
      <c r="F68">
        <v>8.24</v>
      </c>
      <c r="G68">
        <v>17.05</v>
      </c>
      <c r="H68">
        <v>193.53007945516458</v>
      </c>
    </row>
    <row r="69" spans="1:8" x14ac:dyDescent="0.2">
      <c r="A69" s="6">
        <v>40178</v>
      </c>
      <c r="B69">
        <v>352</v>
      </c>
      <c r="C69" s="4">
        <f t="shared" si="0"/>
        <v>29333.333333333332</v>
      </c>
      <c r="D69">
        <v>-34</v>
      </c>
      <c r="E69">
        <v>-8.8082901554404138</v>
      </c>
      <c r="F69">
        <v>-8.81</v>
      </c>
      <c r="G69">
        <v>-7.03</v>
      </c>
      <c r="H69">
        <v>-394.9438202247191</v>
      </c>
    </row>
    <row r="70" spans="1:8" x14ac:dyDescent="0.2">
      <c r="A70" s="6">
        <v>40086</v>
      </c>
      <c r="B70">
        <v>386</v>
      </c>
      <c r="C70" s="4">
        <f t="shared" si="0"/>
        <v>32166.666666666668</v>
      </c>
      <c r="D70">
        <v>-7</v>
      </c>
      <c r="E70">
        <v>-1.7811704834605597</v>
      </c>
      <c r="F70">
        <v>-1.78</v>
      </c>
      <c r="G70">
        <v>-17.71</v>
      </c>
      <c r="H70">
        <v>-111.17388575015694</v>
      </c>
    </row>
    <row r="71" spans="1:8" x14ac:dyDescent="0.2">
      <c r="A71" s="6">
        <v>39994</v>
      </c>
      <c r="B71">
        <v>393</v>
      </c>
      <c r="C71" s="4">
        <f t="shared" si="0"/>
        <v>32750</v>
      </c>
      <c r="D71">
        <v>54</v>
      </c>
      <c r="E71">
        <v>15.929203539823009</v>
      </c>
      <c r="F71">
        <v>15.93</v>
      </c>
      <c r="G71">
        <v>26.009999999999998</v>
      </c>
      <c r="H71">
        <v>258.03571428571428</v>
      </c>
    </row>
    <row r="72" spans="1:8" x14ac:dyDescent="0.2">
      <c r="A72" s="6">
        <v>39903</v>
      </c>
      <c r="B72">
        <v>339</v>
      </c>
      <c r="C72" s="4">
        <f t="shared" ref="C72:C85" si="1">B72*1000/12</f>
        <v>28250</v>
      </c>
      <c r="D72">
        <v>-38</v>
      </c>
      <c r="E72">
        <v>-10.079575596816976</v>
      </c>
      <c r="F72">
        <v>-10.08</v>
      </c>
      <c r="G72">
        <v>2.8499999999999996</v>
      </c>
      <c r="H72">
        <v>22.041763341067281</v>
      </c>
    </row>
    <row r="73" spans="1:8" x14ac:dyDescent="0.2">
      <c r="A73" s="6">
        <v>39813</v>
      </c>
      <c r="B73">
        <v>377</v>
      </c>
      <c r="C73" s="4">
        <f t="shared" si="1"/>
        <v>31416.666666666668</v>
      </c>
      <c r="D73">
        <v>-56</v>
      </c>
      <c r="E73">
        <v>-12.933025404157044</v>
      </c>
      <c r="F73">
        <v>-12.93</v>
      </c>
      <c r="G73">
        <v>-1.8399999999999999</v>
      </c>
      <c r="H73">
        <v>-16.591523895401263</v>
      </c>
    </row>
    <row r="74" spans="1:8" x14ac:dyDescent="0.2">
      <c r="A74" s="6">
        <v>39721</v>
      </c>
      <c r="B74">
        <v>433</v>
      </c>
      <c r="C74" s="4">
        <f t="shared" si="1"/>
        <v>36083.333333333336</v>
      </c>
      <c r="D74">
        <v>-54</v>
      </c>
      <c r="E74">
        <v>-11.08829568788501</v>
      </c>
      <c r="F74">
        <v>-11.09</v>
      </c>
      <c r="G74">
        <v>-2.1199999999999992</v>
      </c>
      <c r="H74">
        <v>-23.634336677814929</v>
      </c>
    </row>
    <row r="75" spans="1:8" x14ac:dyDescent="0.2">
      <c r="A75" s="6">
        <v>39629</v>
      </c>
      <c r="B75">
        <v>487</v>
      </c>
      <c r="C75" s="4">
        <f t="shared" si="1"/>
        <v>40583.333333333336</v>
      </c>
      <c r="D75">
        <v>-48</v>
      </c>
      <c r="E75">
        <v>-8.9719626168224291</v>
      </c>
      <c r="F75">
        <v>-8.9700000000000006</v>
      </c>
      <c r="G75">
        <v>4.5999999999999996</v>
      </c>
      <c r="H75">
        <v>33.898305084745758</v>
      </c>
    </row>
    <row r="76" spans="1:8" x14ac:dyDescent="0.2">
      <c r="A76" s="6">
        <v>39538</v>
      </c>
      <c r="B76">
        <v>535</v>
      </c>
      <c r="C76" s="4">
        <f t="shared" si="1"/>
        <v>44583.333333333336</v>
      </c>
      <c r="D76">
        <v>-84</v>
      </c>
      <c r="E76">
        <v>-13.570274636510501</v>
      </c>
      <c r="F76">
        <v>-13.57</v>
      </c>
      <c r="G76">
        <v>-3.8000000000000007</v>
      </c>
      <c r="H76">
        <v>-38.894575230296837</v>
      </c>
    </row>
    <row r="77" spans="1:8" x14ac:dyDescent="0.2">
      <c r="A77" s="6">
        <v>39447</v>
      </c>
      <c r="B77">
        <v>619</v>
      </c>
      <c r="C77" s="4">
        <f t="shared" si="1"/>
        <v>51583.333333333336</v>
      </c>
      <c r="D77">
        <v>-67</v>
      </c>
      <c r="E77">
        <v>-9.7667638483965007</v>
      </c>
      <c r="F77">
        <v>-9.77</v>
      </c>
      <c r="G77">
        <v>3.7200000000000006</v>
      </c>
      <c r="H77">
        <v>27.57598220904374</v>
      </c>
    </row>
    <row r="78" spans="1:8" x14ac:dyDescent="0.2">
      <c r="A78" s="6">
        <v>39353</v>
      </c>
      <c r="B78">
        <v>686</v>
      </c>
      <c r="C78" s="4">
        <f t="shared" si="1"/>
        <v>57166.666666666664</v>
      </c>
      <c r="D78">
        <v>-107</v>
      </c>
      <c r="E78">
        <v>-13.493064312736443</v>
      </c>
      <c r="F78">
        <v>-13.49</v>
      </c>
      <c r="G78">
        <v>-8.6900000000000013</v>
      </c>
      <c r="H78">
        <v>-181.04166666666669</v>
      </c>
    </row>
    <row r="79" spans="1:8" x14ac:dyDescent="0.2">
      <c r="A79" s="6">
        <v>39262</v>
      </c>
      <c r="B79">
        <v>793</v>
      </c>
      <c r="C79" s="4">
        <f t="shared" si="1"/>
        <v>66083.333333333328</v>
      </c>
      <c r="D79">
        <v>-40</v>
      </c>
      <c r="E79">
        <v>-4.8019207683073226</v>
      </c>
      <c r="F79">
        <v>-4.8</v>
      </c>
      <c r="G79">
        <v>11.73</v>
      </c>
      <c r="H79">
        <v>70.961887477313965</v>
      </c>
    </row>
    <row r="80" spans="1:8" x14ac:dyDescent="0.2">
      <c r="A80" s="6">
        <v>39171</v>
      </c>
      <c r="B80">
        <v>833</v>
      </c>
      <c r="C80" s="4">
        <f t="shared" si="1"/>
        <v>69416.666666666672</v>
      </c>
      <c r="D80">
        <v>-165</v>
      </c>
      <c r="E80">
        <v>-16.53306613226453</v>
      </c>
      <c r="F80">
        <v>-16.53</v>
      </c>
      <c r="G80">
        <v>-14.760000000000002</v>
      </c>
      <c r="H80">
        <v>-833.89830508474586</v>
      </c>
    </row>
    <row r="81" spans="1:8" x14ac:dyDescent="0.2">
      <c r="A81" s="6">
        <v>39080</v>
      </c>
      <c r="B81">
        <v>998</v>
      </c>
      <c r="C81" s="4">
        <f t="shared" si="1"/>
        <v>83166.666666666672</v>
      </c>
      <c r="D81">
        <v>-18</v>
      </c>
      <c r="E81">
        <v>-1.7716535433070866</v>
      </c>
      <c r="F81">
        <v>-1.77</v>
      </c>
      <c r="G81">
        <v>3.6300000000000003</v>
      </c>
      <c r="H81">
        <v>67.222222222222229</v>
      </c>
    </row>
    <row r="82" spans="1:8" x14ac:dyDescent="0.2">
      <c r="A82" s="6">
        <v>38989</v>
      </c>
      <c r="B82">
        <v>1016</v>
      </c>
      <c r="C82" s="4">
        <f t="shared" si="1"/>
        <v>84666.666666666672</v>
      </c>
      <c r="D82">
        <v>-58</v>
      </c>
      <c r="E82">
        <v>-5.400372439478585</v>
      </c>
      <c r="F82">
        <v>-5.4</v>
      </c>
      <c r="G82">
        <v>-1.6400000000000006</v>
      </c>
      <c r="H82">
        <v>-43.617021276595764</v>
      </c>
    </row>
    <row r="83" spans="1:8" x14ac:dyDescent="0.2">
      <c r="A83" s="6">
        <v>38898</v>
      </c>
      <c r="B83">
        <v>1074</v>
      </c>
      <c r="C83" s="4">
        <f t="shared" si="1"/>
        <v>89500</v>
      </c>
      <c r="D83">
        <v>-42</v>
      </c>
      <c r="E83">
        <v>-3.763440860215054</v>
      </c>
      <c r="F83">
        <v>-3.76</v>
      </c>
      <c r="G83">
        <v>6.17</v>
      </c>
      <c r="H83">
        <v>62.134944612286006</v>
      </c>
    </row>
    <row r="84" spans="1:8" x14ac:dyDescent="0.2">
      <c r="A84" s="6">
        <v>38807</v>
      </c>
      <c r="B84">
        <v>1116</v>
      </c>
      <c r="C84" s="4">
        <f t="shared" si="1"/>
        <v>93000</v>
      </c>
      <c r="D84">
        <v>-123</v>
      </c>
      <c r="E84">
        <v>-9.9273607748184016</v>
      </c>
      <c r="F84">
        <v>-9.93</v>
      </c>
      <c r="G84">
        <v>-9.5299999999999994</v>
      </c>
      <c r="H84">
        <v>-2382.4999999999995</v>
      </c>
    </row>
    <row r="85" spans="1:8" x14ac:dyDescent="0.2">
      <c r="A85" s="6">
        <v>38716</v>
      </c>
      <c r="B85">
        <v>1239</v>
      </c>
      <c r="C85" s="4">
        <f t="shared" si="1"/>
        <v>103250</v>
      </c>
      <c r="F85">
        <v>-0.4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A1AA-4F0F-4FE1-BC63-C1DAACF6040E}">
  <dimension ref="A1:I85"/>
  <sheetViews>
    <sheetView workbookViewId="0">
      <selection activeCell="U39" sqref="U39"/>
    </sheetView>
  </sheetViews>
  <sheetFormatPr baseColWidth="10" defaultColWidth="8.83203125" defaultRowHeight="15" outlineLevelCol="1" x14ac:dyDescent="0.2"/>
  <cols>
    <col min="1" max="1" width="13.6640625" customWidth="1"/>
    <col min="2" max="2" width="36.5" customWidth="1"/>
    <col min="3" max="3" width="25.1640625" customWidth="1"/>
    <col min="4" max="8" width="9.1640625" hidden="1" customWidth="1" outlineLevel="1"/>
    <col min="9" max="9" width="9.1640625" collapsed="1"/>
  </cols>
  <sheetData>
    <row r="1" spans="1:9" x14ac:dyDescent="0.2">
      <c r="A1" t="s">
        <v>0</v>
      </c>
      <c r="B1" t="s">
        <v>60</v>
      </c>
    </row>
    <row r="2" spans="1:9" x14ac:dyDescent="0.2">
      <c r="A2" t="s">
        <v>2</v>
      </c>
      <c r="B2" s="5">
        <v>38716</v>
      </c>
      <c r="C2" s="5"/>
    </row>
    <row r="3" spans="1:9" x14ac:dyDescent="0.2">
      <c r="A3" t="s">
        <v>3</v>
      </c>
      <c r="B3" s="5">
        <v>45838</v>
      </c>
      <c r="C3" s="5"/>
    </row>
    <row r="4" spans="1:9" x14ac:dyDescent="0.2">
      <c r="A4" t="s">
        <v>4</v>
      </c>
      <c r="B4" t="s">
        <v>19</v>
      </c>
    </row>
    <row r="6" spans="1:9" x14ac:dyDescent="0.2">
      <c r="A6" t="s">
        <v>6</v>
      </c>
      <c r="B6" t="s">
        <v>61</v>
      </c>
      <c r="C6" t="s">
        <v>62</v>
      </c>
      <c r="D6" t="s">
        <v>8</v>
      </c>
      <c r="E6" t="s">
        <v>9</v>
      </c>
      <c r="F6" t="s">
        <v>10</v>
      </c>
      <c r="G6" t="s">
        <v>8</v>
      </c>
      <c r="H6" t="s">
        <v>9</v>
      </c>
      <c r="I6" t="s">
        <v>14</v>
      </c>
    </row>
    <row r="7" spans="1:9" x14ac:dyDescent="0.2">
      <c r="A7" s="6">
        <v>45838</v>
      </c>
      <c r="B7">
        <v>3.93</v>
      </c>
      <c r="C7" s="4">
        <f>B7*1000000/12</f>
        <v>327500</v>
      </c>
      <c r="D7">
        <v>-8.9999999999999414E-2</v>
      </c>
      <c r="E7">
        <v>-2.2388059701492393</v>
      </c>
      <c r="F7">
        <v>-2.2400000000000002</v>
      </c>
      <c r="G7">
        <v>4.05</v>
      </c>
      <c r="H7">
        <v>64.387917329093796</v>
      </c>
    </row>
    <row r="8" spans="1:9" x14ac:dyDescent="0.2">
      <c r="A8" s="6">
        <v>45747</v>
      </c>
      <c r="B8">
        <v>4.0199999999999996</v>
      </c>
      <c r="C8" s="4">
        <f t="shared" ref="C8:C71" si="0">B8*1000000/12</f>
        <v>334999.99999999994</v>
      </c>
      <c r="D8">
        <v>-0.27000000000000046</v>
      </c>
      <c r="E8">
        <v>-6.2937062937063049</v>
      </c>
      <c r="F8">
        <v>-6.29</v>
      </c>
      <c r="G8">
        <v>-16.29</v>
      </c>
      <c r="H8">
        <v>-162.9</v>
      </c>
    </row>
    <row r="9" spans="1:9" x14ac:dyDescent="0.2">
      <c r="A9" s="6">
        <v>45657</v>
      </c>
      <c r="B9">
        <v>4.29</v>
      </c>
      <c r="C9" s="4">
        <f t="shared" si="0"/>
        <v>357500</v>
      </c>
      <c r="D9">
        <v>0.39000000000000012</v>
      </c>
      <c r="E9">
        <v>10.000000000000004</v>
      </c>
      <c r="F9">
        <v>10</v>
      </c>
      <c r="G9">
        <v>10.76</v>
      </c>
      <c r="H9">
        <v>1415.7894736842104</v>
      </c>
    </row>
    <row r="10" spans="1:9" x14ac:dyDescent="0.2">
      <c r="A10" s="6">
        <v>45565</v>
      </c>
      <c r="B10">
        <v>3.9</v>
      </c>
      <c r="C10" s="4">
        <f t="shared" si="0"/>
        <v>325000</v>
      </c>
      <c r="D10">
        <v>-3.0000000000000249E-2</v>
      </c>
      <c r="E10">
        <v>-0.76335877862596047</v>
      </c>
      <c r="F10">
        <v>-0.76</v>
      </c>
      <c r="G10">
        <v>3.8500000000000005</v>
      </c>
      <c r="H10">
        <v>83.514099783080269</v>
      </c>
    </row>
    <row r="11" spans="1:9" x14ac:dyDescent="0.2">
      <c r="A11" s="6">
        <v>45471</v>
      </c>
      <c r="B11">
        <v>3.93</v>
      </c>
      <c r="C11" s="4">
        <f t="shared" si="0"/>
        <v>327500</v>
      </c>
      <c r="D11">
        <v>-0.18999999999999995</v>
      </c>
      <c r="E11">
        <v>-4.6116504854368916</v>
      </c>
      <c r="F11">
        <v>-4.6100000000000003</v>
      </c>
      <c r="G11">
        <v>-9.98</v>
      </c>
      <c r="H11">
        <v>-185.84729981378027</v>
      </c>
    </row>
    <row r="12" spans="1:9" x14ac:dyDescent="0.2">
      <c r="A12" s="6">
        <v>45380</v>
      </c>
      <c r="B12">
        <v>4.12</v>
      </c>
      <c r="C12" s="4">
        <f t="shared" si="0"/>
        <v>343333.33333333331</v>
      </c>
      <c r="D12">
        <v>0.20999999999999996</v>
      </c>
      <c r="E12">
        <v>5.3708439897698197</v>
      </c>
      <c r="F12">
        <v>5.37</v>
      </c>
      <c r="G12">
        <v>8.11</v>
      </c>
      <c r="H12">
        <v>295.98540145985402</v>
      </c>
    </row>
    <row r="13" spans="1:9" x14ac:dyDescent="0.2">
      <c r="A13" s="6">
        <v>45289</v>
      </c>
      <c r="B13">
        <v>3.91</v>
      </c>
      <c r="C13" s="4">
        <f t="shared" si="0"/>
        <v>325833.33333333331</v>
      </c>
      <c r="D13">
        <v>-0.10999999999999943</v>
      </c>
      <c r="E13">
        <v>-2.736318407960185</v>
      </c>
      <c r="F13">
        <v>-2.74</v>
      </c>
      <c r="G13">
        <v>0.1599999999999997</v>
      </c>
      <c r="H13">
        <v>5.5172413793103345</v>
      </c>
    </row>
    <row r="14" spans="1:9" x14ac:dyDescent="0.2">
      <c r="A14" s="6">
        <v>45198</v>
      </c>
      <c r="B14">
        <v>4.0199999999999996</v>
      </c>
      <c r="C14" s="4">
        <f t="shared" si="0"/>
        <v>334999.99999999994</v>
      </c>
      <c r="D14">
        <v>-0.12000000000000011</v>
      </c>
      <c r="E14">
        <v>-2.8985507246376838</v>
      </c>
      <c r="F14">
        <v>-2.9</v>
      </c>
      <c r="G14">
        <v>-8.0000000000000071E-2</v>
      </c>
      <c r="H14">
        <v>-2.8368794326241162</v>
      </c>
    </row>
    <row r="15" spans="1:9" x14ac:dyDescent="0.2">
      <c r="A15" s="6">
        <v>45107</v>
      </c>
      <c r="B15">
        <v>4.1399999999999997</v>
      </c>
      <c r="C15" s="4">
        <f t="shared" si="0"/>
        <v>344999.99999999994</v>
      </c>
      <c r="D15">
        <v>-0.12000000000000011</v>
      </c>
      <c r="E15">
        <v>-2.8169014084507067</v>
      </c>
      <c r="F15">
        <v>-2.82</v>
      </c>
      <c r="G15">
        <v>-5.72</v>
      </c>
      <c r="H15">
        <v>-197.24137931034483</v>
      </c>
    </row>
    <row r="16" spans="1:9" x14ac:dyDescent="0.2">
      <c r="A16" s="6">
        <v>45016</v>
      </c>
      <c r="B16">
        <v>4.26</v>
      </c>
      <c r="C16" s="4">
        <f t="shared" si="0"/>
        <v>355000</v>
      </c>
      <c r="D16">
        <v>0.12000000000000011</v>
      </c>
      <c r="E16">
        <v>2.8985507246376838</v>
      </c>
      <c r="F16">
        <v>2.9</v>
      </c>
      <c r="G16">
        <v>15.56</v>
      </c>
      <c r="H16">
        <v>122.90679304897314</v>
      </c>
    </row>
    <row r="17" spans="1:8" x14ac:dyDescent="0.2">
      <c r="A17" s="6">
        <v>44925</v>
      </c>
      <c r="B17">
        <v>4.1399999999999997</v>
      </c>
      <c r="C17" s="4">
        <f t="shared" si="0"/>
        <v>344999.99999999994</v>
      </c>
      <c r="D17">
        <v>-0.60000000000000053</v>
      </c>
      <c r="E17">
        <v>-12.658227848101276</v>
      </c>
      <c r="F17">
        <v>-12.66</v>
      </c>
      <c r="G17">
        <v>-5.42</v>
      </c>
      <c r="H17">
        <v>-74.861878453038671</v>
      </c>
    </row>
    <row r="18" spans="1:8" x14ac:dyDescent="0.2">
      <c r="A18" s="6">
        <v>44834</v>
      </c>
      <c r="B18">
        <v>4.74</v>
      </c>
      <c r="C18" s="4">
        <f t="shared" si="0"/>
        <v>395000</v>
      </c>
      <c r="D18">
        <v>-0.37000000000000011</v>
      </c>
      <c r="E18">
        <v>-7.2407045009784756</v>
      </c>
      <c r="F18">
        <v>-7.24</v>
      </c>
      <c r="G18">
        <v>1.0199999999999996</v>
      </c>
      <c r="H18">
        <v>12.348668280871665</v>
      </c>
    </row>
    <row r="19" spans="1:8" x14ac:dyDescent="0.2">
      <c r="A19" s="6">
        <v>44742</v>
      </c>
      <c r="B19">
        <v>5.1100000000000003</v>
      </c>
      <c r="C19" s="4">
        <f t="shared" si="0"/>
        <v>425833.33333333331</v>
      </c>
      <c r="D19">
        <v>-0.45999999999999996</v>
      </c>
      <c r="E19">
        <v>-8.2585278276481144</v>
      </c>
      <c r="F19">
        <v>-8.26</v>
      </c>
      <c r="G19">
        <v>2.0500000000000007</v>
      </c>
      <c r="H19">
        <v>19.883608147429683</v>
      </c>
    </row>
    <row r="20" spans="1:8" x14ac:dyDescent="0.2">
      <c r="A20" s="6">
        <v>44651</v>
      </c>
      <c r="B20">
        <v>5.57</v>
      </c>
      <c r="C20" s="4">
        <f t="shared" si="0"/>
        <v>464166.66666666669</v>
      </c>
      <c r="D20">
        <v>-0.63999999999999968</v>
      </c>
      <c r="E20">
        <v>-10.305958132045085</v>
      </c>
      <c r="F20">
        <v>-10.31</v>
      </c>
      <c r="G20">
        <v>-10.96</v>
      </c>
      <c r="H20">
        <v>-1686.1538461538462</v>
      </c>
    </row>
    <row r="21" spans="1:8" x14ac:dyDescent="0.2">
      <c r="A21" s="6">
        <v>44561</v>
      </c>
      <c r="B21">
        <v>6.21</v>
      </c>
      <c r="C21" s="4">
        <f t="shared" si="0"/>
        <v>517500</v>
      </c>
      <c r="D21">
        <v>4.0000000000000036E-2</v>
      </c>
      <c r="E21">
        <v>0.64829821717990332</v>
      </c>
      <c r="F21">
        <v>0.65</v>
      </c>
      <c r="G21">
        <v>-2.36</v>
      </c>
      <c r="H21">
        <v>-78.405315614617948</v>
      </c>
    </row>
    <row r="22" spans="1:8" x14ac:dyDescent="0.2">
      <c r="A22" s="6">
        <v>44469</v>
      </c>
      <c r="B22">
        <v>6.17</v>
      </c>
      <c r="C22" s="4">
        <f t="shared" si="0"/>
        <v>514166.66666666669</v>
      </c>
      <c r="D22">
        <v>0.17999999999999972</v>
      </c>
      <c r="E22">
        <v>3.0050083472454041</v>
      </c>
      <c r="F22">
        <v>3.01</v>
      </c>
      <c r="G22">
        <v>2.84</v>
      </c>
      <c r="H22">
        <v>1670.5882352941176</v>
      </c>
    </row>
    <row r="23" spans="1:8" x14ac:dyDescent="0.2">
      <c r="A23" s="6">
        <v>44377</v>
      </c>
      <c r="B23">
        <v>5.99</v>
      </c>
      <c r="C23" s="4">
        <f t="shared" si="0"/>
        <v>499166.66666666669</v>
      </c>
      <c r="D23">
        <v>9.9999999999997868E-3</v>
      </c>
      <c r="E23">
        <v>0.16722408026755495</v>
      </c>
      <c r="F23">
        <v>0.17</v>
      </c>
      <c r="G23">
        <v>8.31</v>
      </c>
      <c r="H23">
        <v>102.08845208845209</v>
      </c>
    </row>
    <row r="24" spans="1:8" x14ac:dyDescent="0.2">
      <c r="A24" s="6">
        <v>44286</v>
      </c>
      <c r="B24">
        <v>5.98</v>
      </c>
      <c r="C24" s="4">
        <f t="shared" si="0"/>
        <v>498333.33333333331</v>
      </c>
      <c r="D24">
        <v>-0.52999999999999936</v>
      </c>
      <c r="E24">
        <v>-8.1413210445468422</v>
      </c>
      <c r="F24">
        <v>-8.14</v>
      </c>
      <c r="G24">
        <v>-10.66</v>
      </c>
      <c r="H24">
        <v>-423.01587301587301</v>
      </c>
    </row>
    <row r="25" spans="1:8" x14ac:dyDescent="0.2">
      <c r="A25" s="6">
        <v>44196</v>
      </c>
      <c r="B25">
        <v>6.51</v>
      </c>
      <c r="C25" s="4">
        <f t="shared" si="0"/>
        <v>542500</v>
      </c>
      <c r="D25">
        <v>0.16000000000000014</v>
      </c>
      <c r="E25">
        <v>2.5196850393700809</v>
      </c>
      <c r="F25">
        <v>2.52</v>
      </c>
      <c r="G25">
        <v>-27.87</v>
      </c>
      <c r="H25">
        <v>-91.707798617966432</v>
      </c>
    </row>
    <row r="26" spans="1:8" x14ac:dyDescent="0.2">
      <c r="A26" s="6">
        <v>44104</v>
      </c>
      <c r="B26">
        <v>6.35</v>
      </c>
      <c r="C26" s="4">
        <f t="shared" si="0"/>
        <v>529166.66666666663</v>
      </c>
      <c r="D26">
        <v>1.4799999999999995</v>
      </c>
      <c r="E26">
        <v>30.390143737166312</v>
      </c>
      <c r="F26">
        <v>30.39</v>
      </c>
      <c r="G26">
        <v>39.19</v>
      </c>
      <c r="H26">
        <v>445.34090909090907</v>
      </c>
    </row>
    <row r="27" spans="1:8" x14ac:dyDescent="0.2">
      <c r="A27" s="6">
        <v>44012</v>
      </c>
      <c r="B27">
        <v>4.87</v>
      </c>
      <c r="C27" s="4">
        <f t="shared" si="0"/>
        <v>405833.33333333331</v>
      </c>
      <c r="D27">
        <v>-0.46999999999999975</v>
      </c>
      <c r="E27">
        <v>-8.8014981273408193</v>
      </c>
      <c r="F27">
        <v>-8.8000000000000007</v>
      </c>
      <c r="G27">
        <v>-6.7800000000000011</v>
      </c>
      <c r="H27">
        <v>-335.64356435643572</v>
      </c>
    </row>
    <row r="28" spans="1:8" x14ac:dyDescent="0.2">
      <c r="A28" s="6">
        <v>43921</v>
      </c>
      <c r="B28">
        <v>5.34</v>
      </c>
      <c r="C28" s="4">
        <f t="shared" si="0"/>
        <v>445000</v>
      </c>
      <c r="D28">
        <v>-0.11000000000000032</v>
      </c>
      <c r="E28">
        <v>-2.0183486238532167</v>
      </c>
      <c r="F28">
        <v>-2.02</v>
      </c>
      <c r="G28">
        <v>-4.66</v>
      </c>
      <c r="H28">
        <v>-176.5151515151515</v>
      </c>
    </row>
    <row r="29" spans="1:8" x14ac:dyDescent="0.2">
      <c r="A29" s="6">
        <v>43830</v>
      </c>
      <c r="B29">
        <v>5.45</v>
      </c>
      <c r="C29" s="4">
        <f t="shared" si="0"/>
        <v>454166.66666666669</v>
      </c>
      <c r="D29">
        <v>0.14000000000000057</v>
      </c>
      <c r="E29">
        <v>2.6365348399246815</v>
      </c>
      <c r="F29">
        <v>2.64</v>
      </c>
      <c r="G29">
        <v>4.12</v>
      </c>
      <c r="H29">
        <v>278.37837837837839</v>
      </c>
    </row>
    <row r="30" spans="1:8" x14ac:dyDescent="0.2">
      <c r="A30" s="6">
        <v>43738</v>
      </c>
      <c r="B30">
        <v>5.31</v>
      </c>
      <c r="C30" s="4">
        <f t="shared" si="0"/>
        <v>442500</v>
      </c>
      <c r="D30">
        <v>-8.0000000000000071E-2</v>
      </c>
      <c r="E30">
        <v>-1.4842300556586285</v>
      </c>
      <c r="F30">
        <v>-1.48</v>
      </c>
      <c r="G30">
        <v>-4.1500000000000004</v>
      </c>
      <c r="H30">
        <v>-155.43071161048692</v>
      </c>
    </row>
    <row r="31" spans="1:8" x14ac:dyDescent="0.2">
      <c r="A31" s="6">
        <v>43644</v>
      </c>
      <c r="B31">
        <v>5.39</v>
      </c>
      <c r="C31" s="4">
        <f t="shared" si="0"/>
        <v>449166.66666666669</v>
      </c>
      <c r="D31">
        <v>0.13999999999999968</v>
      </c>
      <c r="E31">
        <v>2.6666666666666607</v>
      </c>
      <c r="F31">
        <v>2.67</v>
      </c>
      <c r="G31">
        <v>-2.12</v>
      </c>
      <c r="H31">
        <v>-44.258872651356995</v>
      </c>
    </row>
    <row r="32" spans="1:8" x14ac:dyDescent="0.2">
      <c r="A32" s="6">
        <v>43553</v>
      </c>
      <c r="B32">
        <v>5.25</v>
      </c>
      <c r="C32" s="4">
        <f t="shared" si="0"/>
        <v>437500</v>
      </c>
      <c r="D32">
        <v>0.24000000000000021</v>
      </c>
      <c r="E32">
        <v>4.7904191616766516</v>
      </c>
      <c r="F32">
        <v>4.79</v>
      </c>
      <c r="G32">
        <v>8.44</v>
      </c>
      <c r="H32">
        <v>231.23287671232876</v>
      </c>
    </row>
    <row r="33" spans="1:8" x14ac:dyDescent="0.2">
      <c r="A33" s="6">
        <v>43465</v>
      </c>
      <c r="B33">
        <v>5.01</v>
      </c>
      <c r="C33" s="4">
        <f t="shared" si="0"/>
        <v>417500</v>
      </c>
      <c r="D33">
        <v>-0.19000000000000039</v>
      </c>
      <c r="E33">
        <v>-3.6538461538461613</v>
      </c>
      <c r="F33">
        <v>-3.65</v>
      </c>
      <c r="G33">
        <v>0.94</v>
      </c>
      <c r="H33">
        <v>20.479302832244009</v>
      </c>
    </row>
    <row r="34" spans="1:8" x14ac:dyDescent="0.2">
      <c r="A34" s="6">
        <v>43371</v>
      </c>
      <c r="B34">
        <v>5.2</v>
      </c>
      <c r="C34" s="4">
        <f t="shared" si="0"/>
        <v>433333.33333333331</v>
      </c>
      <c r="D34">
        <v>-0.25</v>
      </c>
      <c r="E34">
        <v>-4.5871559633027523</v>
      </c>
      <c r="F34">
        <v>-4.59</v>
      </c>
      <c r="G34">
        <v>-3.1399999999999997</v>
      </c>
      <c r="H34">
        <v>-216.55172413793099</v>
      </c>
    </row>
    <row r="35" spans="1:8" x14ac:dyDescent="0.2">
      <c r="A35" s="6">
        <v>43280</v>
      </c>
      <c r="B35">
        <v>5.45</v>
      </c>
      <c r="C35" s="4">
        <f t="shared" si="0"/>
        <v>454166.66666666669</v>
      </c>
      <c r="D35">
        <v>-8.0000000000000071E-2</v>
      </c>
      <c r="E35">
        <v>-1.4466546112115743</v>
      </c>
      <c r="F35">
        <v>-1.45</v>
      </c>
      <c r="G35">
        <v>-0.73</v>
      </c>
      <c r="H35">
        <v>-101.38888888888889</v>
      </c>
    </row>
    <row r="36" spans="1:8" x14ac:dyDescent="0.2">
      <c r="A36" s="6">
        <v>43189</v>
      </c>
      <c r="B36">
        <v>5.53</v>
      </c>
      <c r="C36" s="4">
        <f t="shared" si="0"/>
        <v>460833.33333333331</v>
      </c>
      <c r="D36">
        <v>-4.0000000000000036E-2</v>
      </c>
      <c r="E36">
        <v>-0.7181328545780975</v>
      </c>
      <c r="F36">
        <v>-0.72</v>
      </c>
      <c r="G36">
        <v>-2.92</v>
      </c>
      <c r="H36">
        <v>-132.72727272727272</v>
      </c>
    </row>
    <row r="37" spans="1:8" x14ac:dyDescent="0.2">
      <c r="A37" s="6">
        <v>43098</v>
      </c>
      <c r="B37">
        <v>5.57</v>
      </c>
      <c r="C37" s="4">
        <f t="shared" si="0"/>
        <v>464166.66666666669</v>
      </c>
      <c r="D37">
        <v>0.12000000000000011</v>
      </c>
      <c r="E37">
        <v>2.201834862385323</v>
      </c>
      <c r="F37">
        <v>2.2000000000000002</v>
      </c>
      <c r="G37">
        <v>2.93</v>
      </c>
      <c r="H37">
        <v>401.36986301369865</v>
      </c>
    </row>
    <row r="38" spans="1:8" x14ac:dyDescent="0.2">
      <c r="A38" s="6">
        <v>43007</v>
      </c>
      <c r="B38">
        <v>5.45</v>
      </c>
      <c r="C38" s="4">
        <f t="shared" si="0"/>
        <v>454166.66666666669</v>
      </c>
      <c r="D38">
        <v>-4.0000000000000036E-2</v>
      </c>
      <c r="E38">
        <v>-0.72859744990892594</v>
      </c>
      <c r="F38">
        <v>-0.73</v>
      </c>
      <c r="G38">
        <v>1.4100000000000001</v>
      </c>
      <c r="H38">
        <v>65.887850467289709</v>
      </c>
    </row>
    <row r="39" spans="1:8" x14ac:dyDescent="0.2">
      <c r="A39" s="6">
        <v>42916</v>
      </c>
      <c r="B39">
        <v>5.49</v>
      </c>
      <c r="C39" s="4">
        <f t="shared" si="0"/>
        <v>457500</v>
      </c>
      <c r="D39">
        <v>-0.12000000000000011</v>
      </c>
      <c r="E39">
        <v>-2.1390374331550821</v>
      </c>
      <c r="F39">
        <v>-2.14</v>
      </c>
      <c r="G39">
        <v>-3.77</v>
      </c>
      <c r="H39">
        <v>-231.28834355828224</v>
      </c>
    </row>
    <row r="40" spans="1:8" x14ac:dyDescent="0.2">
      <c r="A40" s="6">
        <v>42825</v>
      </c>
      <c r="B40">
        <v>5.61</v>
      </c>
      <c r="C40" s="4">
        <f t="shared" si="0"/>
        <v>467500</v>
      </c>
      <c r="D40">
        <v>9.0000000000000746E-2</v>
      </c>
      <c r="E40">
        <v>1.6304347826087093</v>
      </c>
      <c r="F40">
        <v>1.63</v>
      </c>
      <c r="G40">
        <v>0.71999999999999986</v>
      </c>
      <c r="H40">
        <v>79.120879120879096</v>
      </c>
    </row>
    <row r="41" spans="1:8" x14ac:dyDescent="0.2">
      <c r="A41" s="6">
        <v>42734</v>
      </c>
      <c r="B41">
        <v>5.52</v>
      </c>
      <c r="C41" s="4">
        <f t="shared" si="0"/>
        <v>460000</v>
      </c>
      <c r="D41">
        <v>4.9999999999999822E-2</v>
      </c>
      <c r="E41">
        <v>0.91407678244972257</v>
      </c>
      <c r="F41">
        <v>0.91</v>
      </c>
      <c r="G41">
        <v>0.91</v>
      </c>
      <c r="H41" t="e">
        <v>#DIV/0!</v>
      </c>
    </row>
    <row r="42" spans="1:8" x14ac:dyDescent="0.2">
      <c r="A42" s="6">
        <v>42643</v>
      </c>
      <c r="B42">
        <v>5.47</v>
      </c>
      <c r="C42" s="4">
        <f t="shared" si="0"/>
        <v>455833.33333333331</v>
      </c>
      <c r="D42">
        <v>0</v>
      </c>
      <c r="E42">
        <v>0</v>
      </c>
      <c r="F42">
        <v>0</v>
      </c>
      <c r="G42">
        <v>-2.4300000000000002</v>
      </c>
      <c r="H42">
        <v>-100</v>
      </c>
    </row>
    <row r="43" spans="1:8" x14ac:dyDescent="0.2">
      <c r="A43" s="6">
        <v>42551</v>
      </c>
      <c r="B43">
        <v>5.47</v>
      </c>
      <c r="C43" s="4">
        <f t="shared" si="0"/>
        <v>455833.33333333331</v>
      </c>
      <c r="D43">
        <v>0.12999999999999989</v>
      </c>
      <c r="E43">
        <v>2.4344569288389493</v>
      </c>
      <c r="F43">
        <v>2.4300000000000002</v>
      </c>
      <c r="G43">
        <v>4.2700000000000005</v>
      </c>
      <c r="H43">
        <v>232.06521739130437</v>
      </c>
    </row>
    <row r="44" spans="1:8" x14ac:dyDescent="0.2">
      <c r="A44" s="6">
        <v>42460</v>
      </c>
      <c r="B44">
        <v>5.34</v>
      </c>
      <c r="C44" s="4">
        <f t="shared" si="0"/>
        <v>445000</v>
      </c>
      <c r="D44">
        <v>-0.10000000000000053</v>
      </c>
      <c r="E44">
        <v>-1.8382352941176567</v>
      </c>
      <c r="F44">
        <v>-1.84</v>
      </c>
      <c r="G44">
        <v>-2.39</v>
      </c>
      <c r="H44">
        <v>-434.5454545454545</v>
      </c>
    </row>
    <row r="45" spans="1:8" x14ac:dyDescent="0.2">
      <c r="A45" s="6">
        <v>42369</v>
      </c>
      <c r="B45">
        <v>5.44</v>
      </c>
      <c r="C45" s="4">
        <f t="shared" si="0"/>
        <v>453333.33333333331</v>
      </c>
      <c r="D45">
        <v>3.0000000000000249E-2</v>
      </c>
      <c r="E45">
        <v>0.55452865064695467</v>
      </c>
      <c r="F45">
        <v>0.55000000000000004</v>
      </c>
      <c r="G45">
        <v>-0.38</v>
      </c>
      <c r="H45">
        <v>-40.86021505376344</v>
      </c>
    </row>
    <row r="46" spans="1:8" x14ac:dyDescent="0.2">
      <c r="A46" s="6">
        <v>42277</v>
      </c>
      <c r="B46">
        <v>5.41</v>
      </c>
      <c r="C46" s="4">
        <f t="shared" si="0"/>
        <v>450833.33333333331</v>
      </c>
      <c r="D46">
        <v>4.9999999999999822E-2</v>
      </c>
      <c r="E46">
        <v>0.93283582089551897</v>
      </c>
      <c r="F46">
        <v>0.93</v>
      </c>
      <c r="G46">
        <v>-1.17</v>
      </c>
      <c r="H46">
        <v>-55.714285714285715</v>
      </c>
    </row>
    <row r="47" spans="1:8" x14ac:dyDescent="0.2">
      <c r="A47" s="6">
        <v>42185</v>
      </c>
      <c r="B47">
        <v>5.36</v>
      </c>
      <c r="C47" s="4">
        <f t="shared" si="0"/>
        <v>446666.66666666669</v>
      </c>
      <c r="D47">
        <v>0.11000000000000032</v>
      </c>
      <c r="E47">
        <v>2.0952380952381011</v>
      </c>
      <c r="F47">
        <v>2.1</v>
      </c>
      <c r="G47">
        <v>-1.04</v>
      </c>
      <c r="H47">
        <v>-33.121019108280251</v>
      </c>
    </row>
    <row r="48" spans="1:8" x14ac:dyDescent="0.2">
      <c r="A48" s="6">
        <v>42094</v>
      </c>
      <c r="B48">
        <v>5.25</v>
      </c>
      <c r="C48" s="4">
        <f t="shared" si="0"/>
        <v>437500</v>
      </c>
      <c r="D48">
        <v>0.16000000000000014</v>
      </c>
      <c r="E48">
        <v>3.1434184675835</v>
      </c>
      <c r="F48">
        <v>3.14</v>
      </c>
      <c r="G48">
        <v>1.34</v>
      </c>
      <c r="H48">
        <v>74.444444444444443</v>
      </c>
    </row>
    <row r="49" spans="1:8" x14ac:dyDescent="0.2">
      <c r="A49" s="6">
        <v>42004</v>
      </c>
      <c r="B49">
        <v>5.09</v>
      </c>
      <c r="C49" s="4">
        <f t="shared" si="0"/>
        <v>424166.66666666669</v>
      </c>
      <c r="D49">
        <v>8.9999999999999858E-2</v>
      </c>
      <c r="E49">
        <v>1.7999999999999972</v>
      </c>
      <c r="F49">
        <v>1.8</v>
      </c>
      <c r="G49">
        <v>0.59000000000000008</v>
      </c>
      <c r="H49">
        <v>48.760330578512402</v>
      </c>
    </row>
    <row r="50" spans="1:8" x14ac:dyDescent="0.2">
      <c r="A50" s="6">
        <v>41912</v>
      </c>
      <c r="B50">
        <v>5</v>
      </c>
      <c r="C50" s="4">
        <f t="shared" si="0"/>
        <v>416666.66666666669</v>
      </c>
      <c r="D50">
        <v>5.9999999999999609E-2</v>
      </c>
      <c r="E50">
        <v>1.214574898785417</v>
      </c>
      <c r="F50">
        <v>1.21</v>
      </c>
      <c r="G50">
        <v>-2.79</v>
      </c>
      <c r="H50">
        <v>-69.75</v>
      </c>
    </row>
    <row r="51" spans="1:8" x14ac:dyDescent="0.2">
      <c r="A51" s="6">
        <v>41820</v>
      </c>
      <c r="B51">
        <v>4.9400000000000004</v>
      </c>
      <c r="C51" s="4">
        <f t="shared" si="0"/>
        <v>411666.66666666669</v>
      </c>
      <c r="D51">
        <v>0.19000000000000039</v>
      </c>
      <c r="E51">
        <v>4.000000000000008</v>
      </c>
      <c r="F51">
        <v>4</v>
      </c>
      <c r="G51">
        <v>6.26</v>
      </c>
      <c r="H51">
        <v>276.99115044247787</v>
      </c>
    </row>
    <row r="52" spans="1:8" x14ac:dyDescent="0.2">
      <c r="A52" s="6">
        <v>41729</v>
      </c>
      <c r="B52">
        <v>4.75</v>
      </c>
      <c r="C52" s="4">
        <f t="shared" si="0"/>
        <v>395833.33333333331</v>
      </c>
      <c r="D52">
        <v>-0.11000000000000032</v>
      </c>
      <c r="E52">
        <v>-2.2633744855967142</v>
      </c>
      <c r="F52">
        <v>-2.2599999999999998</v>
      </c>
      <c r="G52">
        <v>3.1900000000000004</v>
      </c>
      <c r="H52">
        <v>58.532110091743128</v>
      </c>
    </row>
    <row r="53" spans="1:8" x14ac:dyDescent="0.2">
      <c r="A53" s="6">
        <v>41639</v>
      </c>
      <c r="B53">
        <v>4.8600000000000003</v>
      </c>
      <c r="C53" s="4">
        <f t="shared" si="0"/>
        <v>405000</v>
      </c>
      <c r="D53">
        <v>-0.27999999999999936</v>
      </c>
      <c r="E53">
        <v>-5.4474708171206103</v>
      </c>
      <c r="F53">
        <v>-5.45</v>
      </c>
      <c r="G53">
        <v>-6.04</v>
      </c>
      <c r="H53">
        <v>-1023.7288135593221</v>
      </c>
    </row>
    <row r="54" spans="1:8" x14ac:dyDescent="0.2">
      <c r="A54" s="6">
        <v>41547</v>
      </c>
      <c r="B54">
        <v>5.14</v>
      </c>
      <c r="C54" s="4">
        <f t="shared" si="0"/>
        <v>428333.33333333331</v>
      </c>
      <c r="D54">
        <v>2.9999999999999361E-2</v>
      </c>
      <c r="E54">
        <v>0.58708414872797177</v>
      </c>
      <c r="F54">
        <v>0.59</v>
      </c>
      <c r="G54">
        <v>-0.20000000000000007</v>
      </c>
      <c r="H54">
        <v>-25.316455696202539</v>
      </c>
    </row>
    <row r="55" spans="1:8" x14ac:dyDescent="0.2">
      <c r="A55" s="6">
        <v>41453</v>
      </c>
      <c r="B55">
        <v>5.1100000000000003</v>
      </c>
      <c r="C55" s="4">
        <f t="shared" si="0"/>
        <v>425833.33333333331</v>
      </c>
      <c r="D55">
        <v>4.0000000000000036E-2</v>
      </c>
      <c r="E55">
        <v>0.78895463510848196</v>
      </c>
      <c r="F55">
        <v>0.79</v>
      </c>
      <c r="G55">
        <v>-2.89</v>
      </c>
      <c r="H55">
        <v>-78.532608695652172</v>
      </c>
    </row>
    <row r="56" spans="1:8" x14ac:dyDescent="0.2">
      <c r="A56" s="6">
        <v>41362</v>
      </c>
      <c r="B56">
        <v>5.07</v>
      </c>
      <c r="C56" s="4">
        <f t="shared" si="0"/>
        <v>422500</v>
      </c>
      <c r="D56">
        <v>0.1800000000000006</v>
      </c>
      <c r="E56">
        <v>3.680981595092037</v>
      </c>
      <c r="F56">
        <v>3.68</v>
      </c>
      <c r="G56">
        <v>-0.13999999999999968</v>
      </c>
      <c r="H56">
        <v>-3.664921465968578</v>
      </c>
    </row>
    <row r="57" spans="1:8" x14ac:dyDescent="0.2">
      <c r="A57" s="6">
        <v>41274</v>
      </c>
      <c r="B57">
        <v>4.8899999999999997</v>
      </c>
      <c r="C57" s="4">
        <f t="shared" si="0"/>
        <v>407500</v>
      </c>
      <c r="D57">
        <v>0.17999999999999972</v>
      </c>
      <c r="E57">
        <v>3.8216560509554078</v>
      </c>
      <c r="F57">
        <v>3.82</v>
      </c>
      <c r="G57">
        <v>-1.5500000000000003</v>
      </c>
      <c r="H57">
        <v>-28.864059590316579</v>
      </c>
    </row>
    <row r="58" spans="1:8" x14ac:dyDescent="0.2">
      <c r="A58" s="6">
        <v>41180</v>
      </c>
      <c r="B58">
        <v>4.71</v>
      </c>
      <c r="C58" s="4">
        <f t="shared" si="0"/>
        <v>392500</v>
      </c>
      <c r="D58">
        <v>0.24000000000000021</v>
      </c>
      <c r="E58">
        <v>5.3691275167785282</v>
      </c>
      <c r="F58">
        <v>5.37</v>
      </c>
      <c r="G58">
        <v>6.48</v>
      </c>
      <c r="H58">
        <v>583.78378378378375</v>
      </c>
    </row>
    <row r="59" spans="1:8" x14ac:dyDescent="0.2">
      <c r="A59" s="6">
        <v>41089</v>
      </c>
      <c r="B59">
        <v>4.47</v>
      </c>
      <c r="C59" s="4">
        <f t="shared" si="0"/>
        <v>372500</v>
      </c>
      <c r="D59">
        <v>-4.9999999999999822E-2</v>
      </c>
      <c r="E59">
        <v>-1.1061946902654829</v>
      </c>
      <c r="F59">
        <v>-1.1100000000000001</v>
      </c>
      <c r="G59">
        <v>-5.0200000000000005</v>
      </c>
      <c r="H59">
        <v>-128.38874680306907</v>
      </c>
    </row>
    <row r="60" spans="1:8" x14ac:dyDescent="0.2">
      <c r="A60" s="6">
        <v>40998</v>
      </c>
      <c r="B60">
        <v>4.5199999999999996</v>
      </c>
      <c r="C60" s="4">
        <f t="shared" si="0"/>
        <v>376666.66666666669</v>
      </c>
      <c r="D60">
        <v>0.16999999999999993</v>
      </c>
      <c r="E60">
        <v>3.908045977011493</v>
      </c>
      <c r="F60">
        <v>3.91</v>
      </c>
      <c r="G60">
        <v>3.45</v>
      </c>
      <c r="H60">
        <v>750</v>
      </c>
    </row>
    <row r="61" spans="1:8" x14ac:dyDescent="0.2">
      <c r="A61" s="6">
        <v>40907</v>
      </c>
      <c r="B61">
        <v>4.3499999999999996</v>
      </c>
      <c r="C61" s="4">
        <f t="shared" si="0"/>
        <v>362500</v>
      </c>
      <c r="D61">
        <v>1.9999999999999574E-2</v>
      </c>
      <c r="E61">
        <v>0.4618937644341703</v>
      </c>
      <c r="F61">
        <v>0.46</v>
      </c>
      <c r="G61">
        <v>-1.9</v>
      </c>
      <c r="H61">
        <v>-80.508474576271198</v>
      </c>
    </row>
    <row r="62" spans="1:8" x14ac:dyDescent="0.2">
      <c r="A62" s="6">
        <v>40816</v>
      </c>
      <c r="B62">
        <v>4.33</v>
      </c>
      <c r="C62" s="4">
        <f t="shared" si="0"/>
        <v>360833.33333333331</v>
      </c>
      <c r="D62">
        <v>9.9999999999999645E-2</v>
      </c>
      <c r="E62">
        <v>2.3640661938534193</v>
      </c>
      <c r="F62">
        <v>2.36</v>
      </c>
      <c r="G62">
        <v>3.0599999999999996</v>
      </c>
      <c r="H62">
        <v>437.14285714285711</v>
      </c>
    </row>
    <row r="63" spans="1:8" x14ac:dyDescent="0.2">
      <c r="A63" s="6">
        <v>40724</v>
      </c>
      <c r="B63">
        <v>4.2300000000000004</v>
      </c>
      <c r="C63" s="4">
        <f t="shared" si="0"/>
        <v>352500</v>
      </c>
      <c r="D63">
        <v>-2.9999999999999361E-2</v>
      </c>
      <c r="E63">
        <v>-0.70422535211266113</v>
      </c>
      <c r="F63">
        <v>-0.7</v>
      </c>
      <c r="G63">
        <v>-0.47</v>
      </c>
      <c r="H63">
        <v>-204.3478260869565</v>
      </c>
    </row>
    <row r="64" spans="1:8" x14ac:dyDescent="0.2">
      <c r="A64" s="6">
        <v>40633</v>
      </c>
      <c r="B64">
        <v>4.26</v>
      </c>
      <c r="C64" s="4">
        <f t="shared" si="0"/>
        <v>355000</v>
      </c>
      <c r="D64">
        <v>-9.9999999999997868E-3</v>
      </c>
      <c r="E64">
        <v>-0.23419203747072104</v>
      </c>
      <c r="F64">
        <v>-0.23</v>
      </c>
      <c r="G64">
        <v>-11.43</v>
      </c>
      <c r="H64">
        <v>-102.05357142857143</v>
      </c>
    </row>
    <row r="65" spans="1:8" x14ac:dyDescent="0.2">
      <c r="A65" s="6">
        <v>40543</v>
      </c>
      <c r="B65">
        <v>4.2699999999999996</v>
      </c>
      <c r="C65" s="4">
        <f t="shared" si="0"/>
        <v>355833.33333333331</v>
      </c>
      <c r="D65">
        <v>0.42999999999999972</v>
      </c>
      <c r="E65">
        <v>11.197916666666659</v>
      </c>
      <c r="F65">
        <v>11.2</v>
      </c>
      <c r="G65">
        <v>24.91</v>
      </c>
      <c r="H65">
        <v>181.69219547775344</v>
      </c>
    </row>
    <row r="66" spans="1:8" x14ac:dyDescent="0.2">
      <c r="A66" s="6">
        <v>40451</v>
      </c>
      <c r="B66">
        <v>3.84</v>
      </c>
      <c r="C66" s="4">
        <f t="shared" si="0"/>
        <v>320000</v>
      </c>
      <c r="D66">
        <v>-0.61000000000000032</v>
      </c>
      <c r="E66">
        <v>-13.707865168539332</v>
      </c>
      <c r="F66">
        <v>-13.71</v>
      </c>
      <c r="G66">
        <v>-12.82</v>
      </c>
      <c r="H66">
        <v>-1440.4494382022472</v>
      </c>
    </row>
    <row r="67" spans="1:8" x14ac:dyDescent="0.2">
      <c r="A67" s="6">
        <v>40359</v>
      </c>
      <c r="B67">
        <v>4.45</v>
      </c>
      <c r="C67" s="4">
        <f t="shared" si="0"/>
        <v>370833.33333333331</v>
      </c>
      <c r="D67">
        <v>-4.0000000000000036E-2</v>
      </c>
      <c r="E67">
        <v>-0.89086859688196063</v>
      </c>
      <c r="F67">
        <v>-0.89</v>
      </c>
      <c r="G67">
        <v>-2.94</v>
      </c>
      <c r="H67">
        <v>-143.41463414634148</v>
      </c>
    </row>
    <row r="68" spans="1:8" x14ac:dyDescent="0.2">
      <c r="A68" s="6">
        <v>40268</v>
      </c>
      <c r="B68">
        <v>4.49</v>
      </c>
      <c r="C68" s="4">
        <f t="shared" si="0"/>
        <v>374166.66666666669</v>
      </c>
      <c r="D68">
        <v>8.9999999999999858E-2</v>
      </c>
      <c r="E68">
        <v>2.0454545454545419</v>
      </c>
      <c r="F68">
        <v>2.0499999999999998</v>
      </c>
      <c r="G68">
        <v>6.81</v>
      </c>
      <c r="H68">
        <v>143.0672268907563</v>
      </c>
    </row>
    <row r="69" spans="1:8" x14ac:dyDescent="0.2">
      <c r="A69" s="6">
        <v>40178</v>
      </c>
      <c r="B69">
        <v>4.4000000000000004</v>
      </c>
      <c r="C69" s="4">
        <f t="shared" si="0"/>
        <v>366666.66666666669</v>
      </c>
      <c r="D69">
        <v>-0.21999999999999975</v>
      </c>
      <c r="E69">
        <v>-4.7619047619047565</v>
      </c>
      <c r="F69">
        <v>-4.76</v>
      </c>
      <c r="G69">
        <v>-17.439999999999998</v>
      </c>
      <c r="H69">
        <v>-137.53943217665613</v>
      </c>
    </row>
    <row r="70" spans="1:8" x14ac:dyDescent="0.2">
      <c r="A70" s="6">
        <v>40086</v>
      </c>
      <c r="B70">
        <v>4.62</v>
      </c>
      <c r="C70" s="4">
        <f t="shared" si="0"/>
        <v>385000</v>
      </c>
      <c r="D70">
        <v>0.52000000000000046</v>
      </c>
      <c r="E70">
        <v>12.682926829268304</v>
      </c>
      <c r="F70">
        <v>12.68</v>
      </c>
      <c r="G70">
        <v>6.46</v>
      </c>
      <c r="H70">
        <v>103.85852090032155</v>
      </c>
    </row>
    <row r="71" spans="1:8" x14ac:dyDescent="0.2">
      <c r="A71" s="6">
        <v>39994</v>
      </c>
      <c r="B71">
        <v>4.0999999999999996</v>
      </c>
      <c r="C71" s="4">
        <f t="shared" si="0"/>
        <v>341666.66666666663</v>
      </c>
      <c r="D71">
        <v>0.23999999999999977</v>
      </c>
      <c r="E71">
        <v>6.2176165803108754</v>
      </c>
      <c r="F71">
        <v>6.22</v>
      </c>
      <c r="G71">
        <v>9.9600000000000009</v>
      </c>
      <c r="H71">
        <v>266.31016042780749</v>
      </c>
    </row>
    <row r="72" spans="1:8" x14ac:dyDescent="0.2">
      <c r="A72" s="6">
        <v>39903</v>
      </c>
      <c r="B72">
        <v>3.86</v>
      </c>
      <c r="C72" s="4">
        <f t="shared" ref="C72:C85" si="1">B72*1000000/12</f>
        <v>321666.66666666669</v>
      </c>
      <c r="D72">
        <v>-0.14999999999999991</v>
      </c>
      <c r="E72">
        <v>-3.740648379052367</v>
      </c>
      <c r="F72">
        <v>-3.74</v>
      </c>
      <c r="G72">
        <v>2.3499999999999996</v>
      </c>
      <c r="H72">
        <v>38.587848932676515</v>
      </c>
    </row>
    <row r="73" spans="1:8" x14ac:dyDescent="0.2">
      <c r="A73" s="6">
        <v>39813</v>
      </c>
      <c r="B73">
        <v>4.01</v>
      </c>
      <c r="C73" s="4">
        <f t="shared" si="1"/>
        <v>334166.66666666669</v>
      </c>
      <c r="D73">
        <v>-0.25999999999999979</v>
      </c>
      <c r="E73">
        <v>-6.0889929742388711</v>
      </c>
      <c r="F73">
        <v>-6.09</v>
      </c>
      <c r="G73">
        <v>-10.49</v>
      </c>
      <c r="H73">
        <v>-238.40909090909088</v>
      </c>
    </row>
    <row r="74" spans="1:8" x14ac:dyDescent="0.2">
      <c r="A74" s="6">
        <v>39721</v>
      </c>
      <c r="B74">
        <v>4.2699999999999996</v>
      </c>
      <c r="C74" s="4">
        <f t="shared" si="1"/>
        <v>355833.33333333331</v>
      </c>
      <c r="D74">
        <v>0.17999999999999972</v>
      </c>
      <c r="E74">
        <v>4.4009779951100176</v>
      </c>
      <c r="F74">
        <v>4.4000000000000004</v>
      </c>
      <c r="G74">
        <v>6.08</v>
      </c>
      <c r="H74">
        <v>361.90476190476193</v>
      </c>
    </row>
    <row r="75" spans="1:8" x14ac:dyDescent="0.2">
      <c r="A75" s="6">
        <v>39629</v>
      </c>
      <c r="B75">
        <v>4.09</v>
      </c>
      <c r="C75" s="4">
        <f t="shared" si="1"/>
        <v>340833.33333333331</v>
      </c>
      <c r="D75">
        <v>-7.0000000000000284E-2</v>
      </c>
      <c r="E75">
        <v>-1.6826923076923144</v>
      </c>
      <c r="F75">
        <v>-1.68</v>
      </c>
      <c r="G75">
        <v>3.99</v>
      </c>
      <c r="H75">
        <v>70.370370370370367</v>
      </c>
    </row>
    <row r="76" spans="1:8" x14ac:dyDescent="0.2">
      <c r="A76" s="6">
        <v>39538</v>
      </c>
      <c r="B76">
        <v>4.16</v>
      </c>
      <c r="C76" s="4">
        <f t="shared" si="1"/>
        <v>346666.66666666669</v>
      </c>
      <c r="D76">
        <v>-0.25</v>
      </c>
      <c r="E76">
        <v>-5.6689342403628116</v>
      </c>
      <c r="F76">
        <v>-5.67</v>
      </c>
      <c r="G76">
        <v>-1.96</v>
      </c>
      <c r="H76">
        <v>-52.830188679245282</v>
      </c>
    </row>
    <row r="77" spans="1:8" x14ac:dyDescent="0.2">
      <c r="A77" s="6">
        <v>39447</v>
      </c>
      <c r="B77">
        <v>4.41</v>
      </c>
      <c r="C77" s="4">
        <f t="shared" si="1"/>
        <v>367500</v>
      </c>
      <c r="D77">
        <v>-0.16999999999999993</v>
      </c>
      <c r="E77">
        <v>-3.7117903930130987</v>
      </c>
      <c r="F77">
        <v>-3.71</v>
      </c>
      <c r="G77">
        <v>6.8400000000000007</v>
      </c>
      <c r="H77">
        <v>64.834123222748815</v>
      </c>
    </row>
    <row r="78" spans="1:8" x14ac:dyDescent="0.2">
      <c r="A78" s="6">
        <v>39353</v>
      </c>
      <c r="B78">
        <v>4.58</v>
      </c>
      <c r="C78" s="4">
        <f t="shared" si="1"/>
        <v>381666.66666666669</v>
      </c>
      <c r="D78">
        <v>-0.54</v>
      </c>
      <c r="E78">
        <v>-10.546875</v>
      </c>
      <c r="F78">
        <v>-10.55</v>
      </c>
      <c r="G78">
        <v>-4.32</v>
      </c>
      <c r="H78">
        <v>-69.341894060995173</v>
      </c>
    </row>
    <row r="79" spans="1:8" x14ac:dyDescent="0.2">
      <c r="A79" s="6">
        <v>39262</v>
      </c>
      <c r="B79">
        <v>5.12</v>
      </c>
      <c r="C79" s="4">
        <f t="shared" si="1"/>
        <v>426666.66666666669</v>
      </c>
      <c r="D79">
        <v>-0.33999999999999986</v>
      </c>
      <c r="E79">
        <v>-6.2271062271062245</v>
      </c>
      <c r="F79">
        <v>-6.23</v>
      </c>
      <c r="G79">
        <v>8.4599999999999991</v>
      </c>
      <c r="H79">
        <v>57.590197413206255</v>
      </c>
    </row>
    <row r="80" spans="1:8" x14ac:dyDescent="0.2">
      <c r="A80" s="6">
        <v>39171</v>
      </c>
      <c r="B80">
        <v>5.46</v>
      </c>
      <c r="C80" s="4">
        <f t="shared" si="1"/>
        <v>455000</v>
      </c>
      <c r="D80">
        <v>-0.94000000000000039</v>
      </c>
      <c r="E80">
        <v>-14.687500000000005</v>
      </c>
      <c r="F80">
        <v>-14.69</v>
      </c>
      <c r="G80">
        <v>-16.599999999999998</v>
      </c>
      <c r="H80">
        <v>-869.10994764397901</v>
      </c>
    </row>
    <row r="81" spans="1:8" x14ac:dyDescent="0.2">
      <c r="A81" s="6">
        <v>39080</v>
      </c>
      <c r="B81">
        <v>6.4</v>
      </c>
      <c r="C81" s="4">
        <f t="shared" si="1"/>
        <v>533333.33333333337</v>
      </c>
      <c r="D81">
        <v>0.12000000000000011</v>
      </c>
      <c r="E81">
        <v>1.9108280254777086</v>
      </c>
      <c r="F81">
        <v>1.91</v>
      </c>
      <c r="G81">
        <v>5</v>
      </c>
      <c r="H81">
        <v>161.81229773462783</v>
      </c>
    </row>
    <row r="82" spans="1:8" x14ac:dyDescent="0.2">
      <c r="A82" s="6">
        <v>38989</v>
      </c>
      <c r="B82">
        <v>6.28</v>
      </c>
      <c r="C82" s="4">
        <f t="shared" si="1"/>
        <v>523333.33333333331</v>
      </c>
      <c r="D82">
        <v>-0.20000000000000018</v>
      </c>
      <c r="E82">
        <v>-3.0864197530864224</v>
      </c>
      <c r="F82">
        <v>-3.09</v>
      </c>
      <c r="G82">
        <v>2.0300000000000002</v>
      </c>
      <c r="H82">
        <v>39.648437500000007</v>
      </c>
    </row>
    <row r="83" spans="1:8" x14ac:dyDescent="0.2">
      <c r="A83" s="6">
        <v>38898</v>
      </c>
      <c r="B83">
        <v>6.48</v>
      </c>
      <c r="C83" s="4">
        <f t="shared" si="1"/>
        <v>540000</v>
      </c>
      <c r="D83">
        <v>-0.34999999999999964</v>
      </c>
      <c r="E83">
        <v>-5.1244509516837429</v>
      </c>
      <c r="F83">
        <v>-5.12</v>
      </c>
      <c r="G83">
        <v>-4.97</v>
      </c>
      <c r="H83">
        <v>-3313.3333333333335</v>
      </c>
    </row>
    <row r="84" spans="1:8" x14ac:dyDescent="0.2">
      <c r="A84" s="6">
        <v>38807</v>
      </c>
      <c r="B84">
        <v>6.83</v>
      </c>
      <c r="C84" s="4">
        <f t="shared" si="1"/>
        <v>569166.66666666663</v>
      </c>
      <c r="D84">
        <v>-9.9999999999997868E-3</v>
      </c>
      <c r="E84">
        <v>-0.14619883040935361</v>
      </c>
      <c r="F84">
        <v>-0.15</v>
      </c>
      <c r="G84">
        <v>5.51</v>
      </c>
      <c r="H84">
        <v>97.349823321554766</v>
      </c>
    </row>
    <row r="85" spans="1:8" x14ac:dyDescent="0.2">
      <c r="A85" s="6">
        <v>38716</v>
      </c>
      <c r="B85">
        <v>6.84</v>
      </c>
      <c r="C85" s="4">
        <f t="shared" si="1"/>
        <v>570000</v>
      </c>
      <c r="F85">
        <v>-5.66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C44F-D38C-4ACF-83E9-B96B8812CD0B}">
  <dimension ref="A1:I85"/>
  <sheetViews>
    <sheetView workbookViewId="0">
      <selection activeCell="C13" sqref="C13"/>
    </sheetView>
  </sheetViews>
  <sheetFormatPr baseColWidth="10" defaultColWidth="8.83203125" defaultRowHeight="15" outlineLevelCol="1" x14ac:dyDescent="0.2"/>
  <cols>
    <col min="1" max="1" width="11" customWidth="1"/>
    <col min="2" max="2" width="42.83203125" customWidth="1"/>
    <col min="3" max="3" width="30.5" customWidth="1"/>
    <col min="4" max="8" width="9.1640625" hidden="1" customWidth="1" outlineLevel="1"/>
    <col min="9" max="9" width="9.1640625" collapsed="1"/>
  </cols>
  <sheetData>
    <row r="1" spans="1:9" x14ac:dyDescent="0.2">
      <c r="A1" t="s">
        <v>0</v>
      </c>
      <c r="B1" t="s">
        <v>63</v>
      </c>
    </row>
    <row r="2" spans="1:9" x14ac:dyDescent="0.2">
      <c r="A2" t="s">
        <v>2</v>
      </c>
      <c r="B2" s="5">
        <v>38716</v>
      </c>
      <c r="C2" s="5"/>
    </row>
    <row r="3" spans="1:9" x14ac:dyDescent="0.2">
      <c r="A3" t="s">
        <v>3</v>
      </c>
      <c r="B3" s="5">
        <v>45838</v>
      </c>
      <c r="C3" s="5"/>
    </row>
    <row r="4" spans="1:9" x14ac:dyDescent="0.2">
      <c r="A4" t="s">
        <v>4</v>
      </c>
      <c r="B4" t="s">
        <v>19</v>
      </c>
    </row>
    <row r="6" spans="1:9" x14ac:dyDescent="0.2">
      <c r="A6" t="s">
        <v>6</v>
      </c>
      <c r="B6" t="s">
        <v>64</v>
      </c>
      <c r="C6" t="s">
        <v>65</v>
      </c>
      <c r="D6" t="s">
        <v>8</v>
      </c>
      <c r="E6" t="s">
        <v>9</v>
      </c>
      <c r="F6" t="s">
        <v>10</v>
      </c>
      <c r="G6" t="s">
        <v>8</v>
      </c>
      <c r="H6" t="s">
        <v>9</v>
      </c>
      <c r="I6" t="s">
        <v>14</v>
      </c>
    </row>
    <row r="7" spans="1:9" x14ac:dyDescent="0.2">
      <c r="A7" s="6">
        <v>45838</v>
      </c>
      <c r="B7">
        <v>3.57</v>
      </c>
      <c r="C7" s="4">
        <f>B7*1000000/12</f>
        <v>297500</v>
      </c>
      <c r="D7">
        <v>-7.0000000000000284E-2</v>
      </c>
      <c r="E7">
        <v>-1.9230769230769309</v>
      </c>
      <c r="F7">
        <v>-1.923</v>
      </c>
      <c r="G7">
        <v>4.2629999999999999</v>
      </c>
      <c r="H7">
        <v>68.913676042677011</v>
      </c>
    </row>
    <row r="8" spans="1:9" x14ac:dyDescent="0.2">
      <c r="A8" s="6">
        <v>45747</v>
      </c>
      <c r="B8">
        <v>3.64</v>
      </c>
      <c r="C8" s="4">
        <f t="shared" ref="C8:C71" si="0">B8*1000000/12</f>
        <v>303333.33333333331</v>
      </c>
      <c r="D8">
        <v>-0.23999999999999977</v>
      </c>
      <c r="E8">
        <v>-6.1855670103092733</v>
      </c>
      <c r="F8">
        <v>-6.1859999999999999</v>
      </c>
      <c r="G8">
        <v>-16.100999999999999</v>
      </c>
      <c r="H8">
        <v>-162.39031770045386</v>
      </c>
    </row>
    <row r="9" spans="1:9" x14ac:dyDescent="0.2">
      <c r="A9" s="6">
        <v>45657</v>
      </c>
      <c r="B9">
        <v>3.88</v>
      </c>
      <c r="C9" s="4">
        <f t="shared" si="0"/>
        <v>323333.33333333331</v>
      </c>
      <c r="D9">
        <v>0.35000000000000009</v>
      </c>
      <c r="E9">
        <v>9.9150141643059513</v>
      </c>
      <c r="F9">
        <v>9.9149999999999991</v>
      </c>
      <c r="G9">
        <v>10.478</v>
      </c>
      <c r="H9">
        <v>1861.1012433392541</v>
      </c>
    </row>
    <row r="10" spans="1:9" x14ac:dyDescent="0.2">
      <c r="A10" s="6">
        <v>45565</v>
      </c>
      <c r="B10">
        <v>3.53</v>
      </c>
      <c r="C10" s="4">
        <f t="shared" si="0"/>
        <v>294166.66666666669</v>
      </c>
      <c r="D10">
        <v>-2.0000000000000018E-2</v>
      </c>
      <c r="E10">
        <v>-0.56338028169014143</v>
      </c>
      <c r="F10">
        <v>-0.56299999999999994</v>
      </c>
      <c r="G10">
        <v>4.0070000000000006</v>
      </c>
      <c r="H10">
        <v>87.680525164113789</v>
      </c>
    </row>
    <row r="11" spans="1:9" x14ac:dyDescent="0.2">
      <c r="A11" s="6">
        <v>45471</v>
      </c>
      <c r="B11">
        <v>3.55</v>
      </c>
      <c r="C11" s="4">
        <f t="shared" si="0"/>
        <v>295833.33333333331</v>
      </c>
      <c r="D11">
        <v>-0.17000000000000037</v>
      </c>
      <c r="E11">
        <v>-4.5698924731182888</v>
      </c>
      <c r="F11">
        <v>-4.57</v>
      </c>
      <c r="G11">
        <v>-10.252000000000001</v>
      </c>
      <c r="H11">
        <v>-180.42942625835974</v>
      </c>
    </row>
    <row r="12" spans="1:9" x14ac:dyDescent="0.2">
      <c r="A12" s="6">
        <v>45380</v>
      </c>
      <c r="B12">
        <v>3.72</v>
      </c>
      <c r="C12" s="4">
        <f t="shared" si="0"/>
        <v>310000</v>
      </c>
      <c r="D12">
        <v>0.20000000000000018</v>
      </c>
      <c r="E12">
        <v>5.681818181818187</v>
      </c>
      <c r="F12">
        <v>5.6820000000000004</v>
      </c>
      <c r="G12">
        <v>7.6320000000000006</v>
      </c>
      <c r="H12">
        <v>391.38461538461542</v>
      </c>
    </row>
    <row r="13" spans="1:9" x14ac:dyDescent="0.2">
      <c r="A13" s="6">
        <v>45289</v>
      </c>
      <c r="B13">
        <v>3.52</v>
      </c>
      <c r="C13" s="4">
        <f t="shared" si="0"/>
        <v>293333.33333333331</v>
      </c>
      <c r="D13">
        <v>-6.999999999999984E-2</v>
      </c>
      <c r="E13">
        <v>-1.9498607242339789</v>
      </c>
      <c r="F13">
        <v>-1.95</v>
      </c>
      <c r="G13">
        <v>1.0229999999999999</v>
      </c>
      <c r="H13">
        <v>34.409687184661955</v>
      </c>
    </row>
    <row r="14" spans="1:9" x14ac:dyDescent="0.2">
      <c r="A14" s="6">
        <v>45198</v>
      </c>
      <c r="B14">
        <v>3.59</v>
      </c>
      <c r="C14" s="4">
        <f t="shared" si="0"/>
        <v>299166.66666666669</v>
      </c>
      <c r="D14">
        <v>-0.11000000000000032</v>
      </c>
      <c r="E14">
        <v>-2.9729729729729817</v>
      </c>
      <c r="F14">
        <v>-2.9729999999999999</v>
      </c>
      <c r="G14">
        <v>0.16800000000000015</v>
      </c>
      <c r="H14">
        <v>5.3486150907354393</v>
      </c>
    </row>
    <row r="15" spans="1:9" x14ac:dyDescent="0.2">
      <c r="A15" s="6">
        <v>45107</v>
      </c>
      <c r="B15">
        <v>3.7</v>
      </c>
      <c r="C15" s="4">
        <f t="shared" si="0"/>
        <v>308333.33333333331</v>
      </c>
      <c r="D15">
        <v>-0.11999999999999966</v>
      </c>
      <c r="E15">
        <v>-3.1413612565444939</v>
      </c>
      <c r="F15">
        <v>-3.141</v>
      </c>
      <c r="G15">
        <v>-5.8290000000000006</v>
      </c>
      <c r="H15">
        <v>-216.85267857142858</v>
      </c>
    </row>
    <row r="16" spans="1:9" x14ac:dyDescent="0.2">
      <c r="A16" s="6">
        <v>45016</v>
      </c>
      <c r="B16">
        <v>3.82</v>
      </c>
      <c r="C16" s="4">
        <f t="shared" si="0"/>
        <v>318333.33333333331</v>
      </c>
      <c r="D16">
        <v>9.9999999999999645E-2</v>
      </c>
      <c r="E16">
        <v>2.6881720430107432</v>
      </c>
      <c r="F16">
        <v>2.6880000000000002</v>
      </c>
      <c r="G16">
        <v>15.159000000000001</v>
      </c>
      <c r="H16">
        <v>121.55400529227809</v>
      </c>
    </row>
    <row r="17" spans="1:8" x14ac:dyDescent="0.2">
      <c r="A17" s="6">
        <v>44925</v>
      </c>
      <c r="B17">
        <v>3.72</v>
      </c>
      <c r="C17" s="4">
        <f t="shared" si="0"/>
        <v>310000</v>
      </c>
      <c r="D17">
        <v>-0.5299999999999998</v>
      </c>
      <c r="E17">
        <v>-12.470588235294112</v>
      </c>
      <c r="F17">
        <v>-12.471</v>
      </c>
      <c r="G17">
        <v>-5.673</v>
      </c>
      <c r="H17">
        <v>-83.451015004413051</v>
      </c>
    </row>
    <row r="18" spans="1:8" x14ac:dyDescent="0.2">
      <c r="A18" s="6">
        <v>44834</v>
      </c>
      <c r="B18">
        <v>4.25</v>
      </c>
      <c r="C18" s="4">
        <f t="shared" si="0"/>
        <v>354166.66666666669</v>
      </c>
      <c r="D18">
        <v>-0.30999999999999961</v>
      </c>
      <c r="E18">
        <v>-6.7982456140350793</v>
      </c>
      <c r="F18">
        <v>-6.798</v>
      </c>
      <c r="G18">
        <v>0.89400000000000013</v>
      </c>
      <c r="H18">
        <v>11.622464898595945</v>
      </c>
    </row>
    <row r="19" spans="1:8" x14ac:dyDescent="0.2">
      <c r="A19" s="6">
        <v>44742</v>
      </c>
      <c r="B19">
        <v>4.5599999999999996</v>
      </c>
      <c r="C19" s="4">
        <f t="shared" si="0"/>
        <v>380000</v>
      </c>
      <c r="D19">
        <v>-0.38000000000000078</v>
      </c>
      <c r="E19">
        <v>-7.6923076923077076</v>
      </c>
      <c r="F19">
        <v>-7.6920000000000002</v>
      </c>
      <c r="G19">
        <v>2.6530000000000005</v>
      </c>
      <c r="H19">
        <v>25.645239246012572</v>
      </c>
    </row>
    <row r="20" spans="1:8" x14ac:dyDescent="0.2">
      <c r="A20" s="6">
        <v>44651</v>
      </c>
      <c r="B20">
        <v>4.9400000000000004</v>
      </c>
      <c r="C20" s="4">
        <f t="shared" si="0"/>
        <v>411666.66666666669</v>
      </c>
      <c r="D20">
        <v>-0.5699999999999994</v>
      </c>
      <c r="E20">
        <v>-10.344827586206886</v>
      </c>
      <c r="F20">
        <v>-10.345000000000001</v>
      </c>
      <c r="G20">
        <v>-10.892000000000001</v>
      </c>
      <c r="H20">
        <v>-1991.2248628884827</v>
      </c>
    </row>
    <row r="21" spans="1:8" x14ac:dyDescent="0.2">
      <c r="A21" s="6">
        <v>44561</v>
      </c>
      <c r="B21">
        <v>5.51</v>
      </c>
      <c r="C21" s="4">
        <f t="shared" si="0"/>
        <v>459166.66666666669</v>
      </c>
      <c r="D21">
        <v>2.9999999999999361E-2</v>
      </c>
      <c r="E21">
        <v>0.54744525547444089</v>
      </c>
      <c r="F21">
        <v>0.54700000000000004</v>
      </c>
      <c r="G21">
        <v>-3.6359999999999997</v>
      </c>
      <c r="H21">
        <v>-86.923260817595022</v>
      </c>
    </row>
    <row r="22" spans="1:8" x14ac:dyDescent="0.2">
      <c r="A22" s="6">
        <v>44469</v>
      </c>
      <c r="B22">
        <v>5.48</v>
      </c>
      <c r="C22" s="4">
        <f t="shared" si="0"/>
        <v>456666.66666666669</v>
      </c>
      <c r="D22">
        <v>0.22000000000000064</v>
      </c>
      <c r="E22">
        <v>4.1825095057034343</v>
      </c>
      <c r="F22">
        <v>4.1829999999999998</v>
      </c>
      <c r="G22">
        <v>4.1829999999999998</v>
      </c>
      <c r="H22" t="e">
        <v>#DIV/0!</v>
      </c>
    </row>
    <row r="23" spans="1:8" x14ac:dyDescent="0.2">
      <c r="A23" s="6">
        <v>44377</v>
      </c>
      <c r="B23">
        <v>5.26</v>
      </c>
      <c r="C23" s="4">
        <f t="shared" si="0"/>
        <v>438333.33333333331</v>
      </c>
      <c r="D23">
        <v>0</v>
      </c>
      <c r="E23">
        <v>0</v>
      </c>
      <c r="F23">
        <v>0</v>
      </c>
      <c r="G23">
        <v>9.31</v>
      </c>
      <c r="H23">
        <v>100</v>
      </c>
    </row>
    <row r="24" spans="1:8" x14ac:dyDescent="0.2">
      <c r="A24" s="6">
        <v>44286</v>
      </c>
      <c r="B24">
        <v>5.26</v>
      </c>
      <c r="C24" s="4">
        <f t="shared" si="0"/>
        <v>438333.33333333331</v>
      </c>
      <c r="D24">
        <v>-0.54</v>
      </c>
      <c r="E24">
        <v>-9.3103448275862064</v>
      </c>
      <c r="F24">
        <v>-9.31</v>
      </c>
      <c r="G24">
        <v>-11.423</v>
      </c>
      <c r="H24">
        <v>-540.60577378135349</v>
      </c>
    </row>
    <row r="25" spans="1:8" x14ac:dyDescent="0.2">
      <c r="A25" s="6">
        <v>44196</v>
      </c>
      <c r="B25">
        <v>5.8</v>
      </c>
      <c r="C25" s="4">
        <f t="shared" si="0"/>
        <v>483333.33333333331</v>
      </c>
      <c r="D25">
        <v>0.12000000000000011</v>
      </c>
      <c r="E25">
        <v>2.1126760563380302</v>
      </c>
      <c r="F25">
        <v>2.113</v>
      </c>
      <c r="G25">
        <v>-26.684999999999999</v>
      </c>
      <c r="H25">
        <v>-92.662684908674223</v>
      </c>
    </row>
    <row r="26" spans="1:8" x14ac:dyDescent="0.2">
      <c r="A26" s="6">
        <v>44104</v>
      </c>
      <c r="B26">
        <v>5.68</v>
      </c>
      <c r="C26" s="4">
        <f t="shared" si="0"/>
        <v>473333.33333333331</v>
      </c>
      <c r="D26">
        <v>1.2699999999999996</v>
      </c>
      <c r="E26">
        <v>28.798185941043073</v>
      </c>
      <c r="F26">
        <v>28.797999999999998</v>
      </c>
      <c r="G26">
        <v>36.730999999999995</v>
      </c>
      <c r="H26">
        <v>463.01525274171178</v>
      </c>
    </row>
    <row r="27" spans="1:8" x14ac:dyDescent="0.2">
      <c r="A27" s="6">
        <v>44012</v>
      </c>
      <c r="B27">
        <v>4.41</v>
      </c>
      <c r="C27" s="4">
        <f t="shared" si="0"/>
        <v>367500</v>
      </c>
      <c r="D27">
        <v>-0.37999999999999989</v>
      </c>
      <c r="E27">
        <v>-7.9331941544885147</v>
      </c>
      <c r="F27">
        <v>-7.9329999999999998</v>
      </c>
      <c r="G27">
        <v>-6.9</v>
      </c>
      <c r="H27">
        <v>-667.9574056147145</v>
      </c>
    </row>
    <row r="28" spans="1:8" x14ac:dyDescent="0.2">
      <c r="A28" s="6">
        <v>43921</v>
      </c>
      <c r="B28">
        <v>4.79</v>
      </c>
      <c r="C28" s="4">
        <f t="shared" si="0"/>
        <v>399166.66666666669</v>
      </c>
      <c r="D28">
        <v>-4.9999999999999822E-2</v>
      </c>
      <c r="E28">
        <v>-1.0330578512396658</v>
      </c>
      <c r="F28">
        <v>-1.0329999999999999</v>
      </c>
      <c r="G28">
        <v>-3.359</v>
      </c>
      <c r="H28">
        <v>-144.41100601891659</v>
      </c>
    </row>
    <row r="29" spans="1:8" x14ac:dyDescent="0.2">
      <c r="A29" s="6">
        <v>43830</v>
      </c>
      <c r="B29">
        <v>4.84</v>
      </c>
      <c r="C29" s="4">
        <f t="shared" si="0"/>
        <v>403333.33333333331</v>
      </c>
      <c r="D29">
        <v>0.10999999999999943</v>
      </c>
      <c r="E29">
        <v>2.3255813953488249</v>
      </c>
      <c r="F29">
        <v>2.3260000000000001</v>
      </c>
      <c r="G29">
        <v>3.9889999999999999</v>
      </c>
      <c r="H29">
        <v>239.86770895971134</v>
      </c>
    </row>
    <row r="30" spans="1:8" x14ac:dyDescent="0.2">
      <c r="A30" s="6">
        <v>43738</v>
      </c>
      <c r="B30">
        <v>4.7300000000000004</v>
      </c>
      <c r="C30" s="4">
        <f t="shared" si="0"/>
        <v>394166.66666666669</v>
      </c>
      <c r="D30">
        <v>-7.9999999999999183E-2</v>
      </c>
      <c r="E30">
        <v>-1.6632016632016464</v>
      </c>
      <c r="F30">
        <v>-1.663</v>
      </c>
      <c r="G30">
        <v>-4.2220000000000004</v>
      </c>
      <c r="H30">
        <v>-164.98632278233686</v>
      </c>
    </row>
    <row r="31" spans="1:8" x14ac:dyDescent="0.2">
      <c r="A31" s="6">
        <v>43644</v>
      </c>
      <c r="B31">
        <v>4.8099999999999996</v>
      </c>
      <c r="C31" s="4">
        <f t="shared" si="0"/>
        <v>400833.33333333331</v>
      </c>
      <c r="D31">
        <v>0.11999999999999922</v>
      </c>
      <c r="E31">
        <v>2.5586353944562732</v>
      </c>
      <c r="F31">
        <v>2.5590000000000002</v>
      </c>
      <c r="G31">
        <v>-2.3629999999999995</v>
      </c>
      <c r="H31">
        <v>-48.008939455505889</v>
      </c>
    </row>
    <row r="32" spans="1:8" x14ac:dyDescent="0.2">
      <c r="A32" s="6">
        <v>43553</v>
      </c>
      <c r="B32">
        <v>4.6900000000000004</v>
      </c>
      <c r="C32" s="4">
        <f t="shared" si="0"/>
        <v>390833.33333333331</v>
      </c>
      <c r="D32">
        <v>0.22000000000000064</v>
      </c>
      <c r="E32">
        <v>4.9217002237136613</v>
      </c>
      <c r="F32">
        <v>4.9219999999999997</v>
      </c>
      <c r="G32">
        <v>8.1690000000000005</v>
      </c>
      <c r="H32">
        <v>251.58607945796123</v>
      </c>
    </row>
    <row r="33" spans="1:8" x14ac:dyDescent="0.2">
      <c r="A33" s="6">
        <v>43465</v>
      </c>
      <c r="B33">
        <v>4.47</v>
      </c>
      <c r="C33" s="4">
        <f t="shared" si="0"/>
        <v>372500</v>
      </c>
      <c r="D33">
        <v>-0.15000000000000036</v>
      </c>
      <c r="E33">
        <v>-3.2467532467532543</v>
      </c>
      <c r="F33">
        <v>-3.2469999999999999</v>
      </c>
      <c r="G33">
        <v>1.101</v>
      </c>
      <c r="H33">
        <v>25.321987120515178</v>
      </c>
    </row>
    <row r="34" spans="1:8" x14ac:dyDescent="0.2">
      <c r="A34" s="6">
        <v>43371</v>
      </c>
      <c r="B34">
        <v>4.62</v>
      </c>
      <c r="C34" s="4">
        <f t="shared" si="0"/>
        <v>385000</v>
      </c>
      <c r="D34">
        <v>-0.20999999999999996</v>
      </c>
      <c r="E34">
        <v>-4.3478260869565206</v>
      </c>
      <c r="F34">
        <v>-4.3479999999999999</v>
      </c>
      <c r="G34">
        <v>-2.7189999999999999</v>
      </c>
      <c r="H34">
        <v>-166.91221608348678</v>
      </c>
    </row>
    <row r="35" spans="1:8" x14ac:dyDescent="0.2">
      <c r="A35" s="6">
        <v>43280</v>
      </c>
      <c r="B35">
        <v>4.83</v>
      </c>
      <c r="C35" s="4">
        <f t="shared" si="0"/>
        <v>402500</v>
      </c>
      <c r="D35">
        <v>-8.0000000000000071E-2</v>
      </c>
      <c r="E35">
        <v>-1.6293279022403273</v>
      </c>
      <c r="F35">
        <v>-1.629</v>
      </c>
      <c r="G35">
        <v>-0.82099999999999995</v>
      </c>
      <c r="H35">
        <v>-101.6089108910891</v>
      </c>
    </row>
    <row r="36" spans="1:8" x14ac:dyDescent="0.2">
      <c r="A36" s="6">
        <v>43189</v>
      </c>
      <c r="B36">
        <v>4.91</v>
      </c>
      <c r="C36" s="4">
        <f t="shared" si="0"/>
        <v>409166.66666666669</v>
      </c>
      <c r="D36">
        <v>-4.0000000000000036E-2</v>
      </c>
      <c r="E36">
        <v>-0.80808080808080873</v>
      </c>
      <c r="F36">
        <v>-0.80800000000000005</v>
      </c>
      <c r="G36">
        <v>-3.0810000000000004</v>
      </c>
      <c r="H36">
        <v>-135.54773427188738</v>
      </c>
    </row>
    <row r="37" spans="1:8" x14ac:dyDescent="0.2">
      <c r="A37" s="6">
        <v>43098</v>
      </c>
      <c r="B37">
        <v>4.95</v>
      </c>
      <c r="C37" s="4">
        <f t="shared" si="0"/>
        <v>412500</v>
      </c>
      <c r="D37">
        <v>0.11000000000000032</v>
      </c>
      <c r="E37">
        <v>2.2727272727272796</v>
      </c>
      <c r="F37">
        <v>2.2730000000000001</v>
      </c>
      <c r="G37">
        <v>2.8890000000000002</v>
      </c>
      <c r="H37">
        <v>468.99350649350657</v>
      </c>
    </row>
    <row r="38" spans="1:8" x14ac:dyDescent="0.2">
      <c r="A38" s="6">
        <v>43007</v>
      </c>
      <c r="B38">
        <v>4.84</v>
      </c>
      <c r="C38" s="4">
        <f t="shared" si="0"/>
        <v>403333.33333333331</v>
      </c>
      <c r="D38">
        <v>-3.0000000000000249E-2</v>
      </c>
      <c r="E38">
        <v>-0.61601642710472793</v>
      </c>
      <c r="F38">
        <v>-0.61599999999999999</v>
      </c>
      <c r="G38">
        <v>1.593</v>
      </c>
      <c r="H38">
        <v>72.114078768673608</v>
      </c>
    </row>
    <row r="39" spans="1:8" x14ac:dyDescent="0.2">
      <c r="A39" s="6">
        <v>42916</v>
      </c>
      <c r="B39">
        <v>4.87</v>
      </c>
      <c r="C39" s="4">
        <f t="shared" si="0"/>
        <v>405833.33333333331</v>
      </c>
      <c r="D39">
        <v>-0.11000000000000032</v>
      </c>
      <c r="E39">
        <v>-2.208835341365468</v>
      </c>
      <c r="F39">
        <v>-2.2090000000000001</v>
      </c>
      <c r="G39">
        <v>-3.8420000000000001</v>
      </c>
      <c r="H39">
        <v>-235.27250459277403</v>
      </c>
    </row>
    <row r="40" spans="1:8" x14ac:dyDescent="0.2">
      <c r="A40" s="6">
        <v>42825</v>
      </c>
      <c r="B40">
        <v>4.9800000000000004</v>
      </c>
      <c r="C40" s="4">
        <f t="shared" si="0"/>
        <v>415000</v>
      </c>
      <c r="D40">
        <v>8.0000000000000071E-2</v>
      </c>
      <c r="E40">
        <v>1.6326530612244912</v>
      </c>
      <c r="F40">
        <v>1.633</v>
      </c>
      <c r="G40">
        <v>0.60200000000000009</v>
      </c>
      <c r="H40">
        <v>58.389912706110586</v>
      </c>
    </row>
    <row r="41" spans="1:8" x14ac:dyDescent="0.2">
      <c r="A41" s="6">
        <v>42734</v>
      </c>
      <c r="B41">
        <v>4.9000000000000004</v>
      </c>
      <c r="C41" s="4">
        <f t="shared" si="0"/>
        <v>408333.33333333331</v>
      </c>
      <c r="D41">
        <v>5.0000000000000711E-2</v>
      </c>
      <c r="E41">
        <v>1.0309278350515612</v>
      </c>
      <c r="F41">
        <v>1.0309999999999999</v>
      </c>
      <c r="G41">
        <v>1.0309999999999999</v>
      </c>
      <c r="H41" t="e">
        <v>#DIV/0!</v>
      </c>
    </row>
    <row r="42" spans="1:8" x14ac:dyDescent="0.2">
      <c r="A42" s="6">
        <v>42643</v>
      </c>
      <c r="B42">
        <v>4.8499999999999996</v>
      </c>
      <c r="C42" s="4">
        <f t="shared" si="0"/>
        <v>404166.66666666669</v>
      </c>
      <c r="D42">
        <v>0</v>
      </c>
      <c r="E42">
        <v>0</v>
      </c>
      <c r="F42">
        <v>0</v>
      </c>
      <c r="G42">
        <v>-2.5369999999999999</v>
      </c>
      <c r="H42">
        <v>-100</v>
      </c>
    </row>
    <row r="43" spans="1:8" x14ac:dyDescent="0.2">
      <c r="A43" s="6">
        <v>42551</v>
      </c>
      <c r="B43">
        <v>4.8499999999999996</v>
      </c>
      <c r="C43" s="4">
        <f t="shared" si="0"/>
        <v>404166.66666666669</v>
      </c>
      <c r="D43">
        <v>0.11999999999999922</v>
      </c>
      <c r="E43">
        <v>2.5369978858350786</v>
      </c>
      <c r="F43">
        <v>2.5369999999999999</v>
      </c>
      <c r="G43">
        <v>4.2</v>
      </c>
      <c r="H43">
        <v>252.55562236921227</v>
      </c>
    </row>
    <row r="44" spans="1:8" x14ac:dyDescent="0.2">
      <c r="A44" s="6">
        <v>42460</v>
      </c>
      <c r="B44">
        <v>4.7300000000000004</v>
      </c>
      <c r="C44" s="4">
        <f t="shared" si="0"/>
        <v>394166.66666666669</v>
      </c>
      <c r="D44">
        <v>-7.9999999999999183E-2</v>
      </c>
      <c r="E44">
        <v>-1.6632016632016464</v>
      </c>
      <c r="F44">
        <v>-1.663</v>
      </c>
      <c r="G44">
        <v>-1.871</v>
      </c>
      <c r="H44">
        <v>-899.51923076923083</v>
      </c>
    </row>
    <row r="45" spans="1:8" x14ac:dyDescent="0.2">
      <c r="A45" s="6">
        <v>42369</v>
      </c>
      <c r="B45">
        <v>4.8099999999999996</v>
      </c>
      <c r="C45" s="4">
        <f t="shared" si="0"/>
        <v>400833.33333333331</v>
      </c>
      <c r="D45">
        <v>9.9999999999997868E-3</v>
      </c>
      <c r="E45">
        <v>0.2083333333333289</v>
      </c>
      <c r="F45">
        <v>0.20799999999999999</v>
      </c>
      <c r="G45">
        <v>-1.272</v>
      </c>
      <c r="H45">
        <v>-85.945945945945951</v>
      </c>
    </row>
    <row r="46" spans="1:8" x14ac:dyDescent="0.2">
      <c r="A46" s="6">
        <v>42277</v>
      </c>
      <c r="B46">
        <v>4.8</v>
      </c>
      <c r="C46" s="4">
        <f t="shared" si="0"/>
        <v>400000</v>
      </c>
      <c r="D46">
        <v>6.9999999999999396E-2</v>
      </c>
      <c r="E46">
        <v>1.4799154334037925</v>
      </c>
      <c r="F46">
        <v>1.48</v>
      </c>
      <c r="G46">
        <v>-0.68000000000000016</v>
      </c>
      <c r="H46">
        <v>-31.481481481481485</v>
      </c>
    </row>
    <row r="47" spans="1:8" x14ac:dyDescent="0.2">
      <c r="A47" s="6">
        <v>42185</v>
      </c>
      <c r="B47">
        <v>4.7300000000000004</v>
      </c>
      <c r="C47" s="4">
        <f t="shared" si="0"/>
        <v>394166.66666666669</v>
      </c>
      <c r="D47">
        <v>0.10000000000000053</v>
      </c>
      <c r="E47">
        <v>2.1598272138229055</v>
      </c>
      <c r="F47">
        <v>2.16</v>
      </c>
      <c r="G47">
        <v>-0.72899999999999965</v>
      </c>
      <c r="H47">
        <v>-25.233644859813072</v>
      </c>
    </row>
    <row r="48" spans="1:8" x14ac:dyDescent="0.2">
      <c r="A48" s="6">
        <v>42094</v>
      </c>
      <c r="B48">
        <v>4.63</v>
      </c>
      <c r="C48" s="4">
        <f t="shared" si="0"/>
        <v>385833.33333333331</v>
      </c>
      <c r="D48">
        <v>0.12999999999999989</v>
      </c>
      <c r="E48">
        <v>2.8888888888888866</v>
      </c>
      <c r="F48">
        <v>2.8889999999999998</v>
      </c>
      <c r="G48">
        <v>0.84799999999999986</v>
      </c>
      <c r="H48">
        <v>41.548260656540904</v>
      </c>
    </row>
    <row r="49" spans="1:8" x14ac:dyDescent="0.2">
      <c r="A49" s="6">
        <v>42004</v>
      </c>
      <c r="B49">
        <v>4.5</v>
      </c>
      <c r="C49" s="4">
        <f t="shared" si="0"/>
        <v>375000</v>
      </c>
      <c r="D49">
        <v>8.9999999999999858E-2</v>
      </c>
      <c r="E49">
        <v>2.0408163265306087</v>
      </c>
      <c r="F49">
        <v>2.0409999999999999</v>
      </c>
      <c r="G49">
        <v>0.66199999999999992</v>
      </c>
      <c r="H49">
        <v>48.00580130529368</v>
      </c>
    </row>
    <row r="50" spans="1:8" x14ac:dyDescent="0.2">
      <c r="A50" s="6">
        <v>41912</v>
      </c>
      <c r="B50">
        <v>4.41</v>
      </c>
      <c r="C50" s="4">
        <f t="shared" si="0"/>
        <v>367500</v>
      </c>
      <c r="D50">
        <v>6.0000000000000497E-2</v>
      </c>
      <c r="E50">
        <v>1.3793103448275978</v>
      </c>
      <c r="F50">
        <v>1.379</v>
      </c>
      <c r="G50">
        <v>-2.6880000000000002</v>
      </c>
      <c r="H50">
        <v>-66.09294320137694</v>
      </c>
    </row>
    <row r="51" spans="1:8" x14ac:dyDescent="0.2">
      <c r="A51" s="6">
        <v>41820</v>
      </c>
      <c r="B51">
        <v>4.3499999999999996</v>
      </c>
      <c r="C51" s="4">
        <f t="shared" si="0"/>
        <v>362500</v>
      </c>
      <c r="D51">
        <v>0.16999999999999993</v>
      </c>
      <c r="E51">
        <v>4.0669856459330127</v>
      </c>
      <c r="F51">
        <v>4.0670000000000002</v>
      </c>
      <c r="G51">
        <v>6.6310000000000002</v>
      </c>
      <c r="H51">
        <v>258.61934477379094</v>
      </c>
    </row>
    <row r="52" spans="1:8" x14ac:dyDescent="0.2">
      <c r="A52" s="6">
        <v>41729</v>
      </c>
      <c r="B52">
        <v>4.18</v>
      </c>
      <c r="C52" s="4">
        <f t="shared" si="0"/>
        <v>348333.33333333331</v>
      </c>
      <c r="D52">
        <v>-0.11000000000000032</v>
      </c>
      <c r="E52">
        <v>-2.5641025641025714</v>
      </c>
      <c r="F52">
        <v>-2.5640000000000001</v>
      </c>
      <c r="G52">
        <v>2.734</v>
      </c>
      <c r="H52">
        <v>51.604379010947525</v>
      </c>
    </row>
    <row r="53" spans="1:8" x14ac:dyDescent="0.2">
      <c r="A53" s="6">
        <v>41639</v>
      </c>
      <c r="B53">
        <v>4.29</v>
      </c>
      <c r="C53" s="4">
        <f t="shared" si="0"/>
        <v>357500</v>
      </c>
      <c r="D53">
        <v>-0.24000000000000021</v>
      </c>
      <c r="E53">
        <v>-5.2980132450331174</v>
      </c>
      <c r="F53">
        <v>-5.298</v>
      </c>
      <c r="G53">
        <v>-5.7409999999999997</v>
      </c>
      <c r="H53">
        <v>-1295.9367945823926</v>
      </c>
    </row>
    <row r="54" spans="1:8" x14ac:dyDescent="0.2">
      <c r="A54" s="6">
        <v>41547</v>
      </c>
      <c r="B54">
        <v>4.53</v>
      </c>
      <c r="C54" s="4">
        <f t="shared" si="0"/>
        <v>377500</v>
      </c>
      <c r="D54">
        <v>2.0000000000000462E-2</v>
      </c>
      <c r="E54">
        <v>0.44345898004435613</v>
      </c>
      <c r="F54">
        <v>0.443</v>
      </c>
      <c r="G54">
        <v>-0.67799999999999994</v>
      </c>
      <c r="H54">
        <v>-60.481712756467438</v>
      </c>
    </row>
    <row r="55" spans="1:8" x14ac:dyDescent="0.2">
      <c r="A55" s="6">
        <v>41453</v>
      </c>
      <c r="B55">
        <v>4.51</v>
      </c>
      <c r="C55" s="4">
        <f t="shared" si="0"/>
        <v>375833.33333333331</v>
      </c>
      <c r="D55">
        <v>4.9999999999999822E-2</v>
      </c>
      <c r="E55">
        <v>1.1210762331838526</v>
      </c>
      <c r="F55">
        <v>1.121</v>
      </c>
      <c r="G55">
        <v>-2.12</v>
      </c>
      <c r="H55">
        <v>-65.411909904350509</v>
      </c>
    </row>
    <row r="56" spans="1:8" x14ac:dyDescent="0.2">
      <c r="A56" s="6">
        <v>41362</v>
      </c>
      <c r="B56">
        <v>4.46</v>
      </c>
      <c r="C56" s="4">
        <f t="shared" si="0"/>
        <v>371666.66666666669</v>
      </c>
      <c r="D56">
        <v>0.13999999999999968</v>
      </c>
      <c r="E56">
        <v>3.2407407407407329</v>
      </c>
      <c r="F56">
        <v>3.2410000000000001</v>
      </c>
      <c r="G56">
        <v>-0.85499999999999998</v>
      </c>
      <c r="H56">
        <v>-20.8740234375</v>
      </c>
    </row>
    <row r="57" spans="1:8" x14ac:dyDescent="0.2">
      <c r="A57" s="6">
        <v>41274</v>
      </c>
      <c r="B57">
        <v>4.32</v>
      </c>
      <c r="C57" s="4">
        <f t="shared" si="0"/>
        <v>360000</v>
      </c>
      <c r="D57">
        <v>0.16999999999999993</v>
      </c>
      <c r="E57">
        <v>4.0963855421686723</v>
      </c>
      <c r="F57">
        <v>4.0960000000000001</v>
      </c>
      <c r="G57">
        <v>-0.17499999999999982</v>
      </c>
      <c r="H57">
        <v>-4.0974010770311358</v>
      </c>
    </row>
    <row r="58" spans="1:8" x14ac:dyDescent="0.2">
      <c r="A58" s="6">
        <v>41180</v>
      </c>
      <c r="B58">
        <v>4.1500000000000004</v>
      </c>
      <c r="C58" s="4">
        <f t="shared" si="0"/>
        <v>345833.33333333337</v>
      </c>
      <c r="D58">
        <v>0.17000000000000037</v>
      </c>
      <c r="E58">
        <v>4.2713567839196065</v>
      </c>
      <c r="F58">
        <v>4.2709999999999999</v>
      </c>
      <c r="G58">
        <v>5.266</v>
      </c>
      <c r="H58">
        <v>529.2462311557789</v>
      </c>
    </row>
    <row r="59" spans="1:8" x14ac:dyDescent="0.2">
      <c r="A59" s="6">
        <v>41089</v>
      </c>
      <c r="B59">
        <v>3.98</v>
      </c>
      <c r="C59" s="4">
        <f t="shared" si="0"/>
        <v>331666.66666666669</v>
      </c>
      <c r="D59">
        <v>-3.9999999999999591E-2</v>
      </c>
      <c r="E59">
        <v>-0.99502487562188047</v>
      </c>
      <c r="F59">
        <v>-0.995</v>
      </c>
      <c r="G59">
        <v>-4.8709999999999996</v>
      </c>
      <c r="H59">
        <v>-125.67079463364293</v>
      </c>
    </row>
    <row r="60" spans="1:8" x14ac:dyDescent="0.2">
      <c r="A60" s="6">
        <v>40998</v>
      </c>
      <c r="B60">
        <v>4.0199999999999996</v>
      </c>
      <c r="C60" s="4">
        <f t="shared" si="0"/>
        <v>334999.99999999994</v>
      </c>
      <c r="D60">
        <v>0.14999999999999947</v>
      </c>
      <c r="E60">
        <v>3.875968992248048</v>
      </c>
      <c r="F60">
        <v>3.8759999999999999</v>
      </c>
      <c r="G60">
        <v>3.0949999999999998</v>
      </c>
      <c r="H60">
        <v>396.28681177976949</v>
      </c>
    </row>
    <row r="61" spans="1:8" x14ac:dyDescent="0.2">
      <c r="A61" s="6">
        <v>40907</v>
      </c>
      <c r="B61">
        <v>3.87</v>
      </c>
      <c r="C61" s="4">
        <f t="shared" si="0"/>
        <v>322500</v>
      </c>
      <c r="D61">
        <v>3.0000000000000249E-2</v>
      </c>
      <c r="E61">
        <v>0.78125000000000655</v>
      </c>
      <c r="F61">
        <v>0.78100000000000003</v>
      </c>
      <c r="G61">
        <v>-1.347</v>
      </c>
      <c r="H61">
        <v>-63.29887218045112</v>
      </c>
    </row>
    <row r="62" spans="1:8" x14ac:dyDescent="0.2">
      <c r="A62" s="6">
        <v>40816</v>
      </c>
      <c r="B62">
        <v>3.84</v>
      </c>
      <c r="C62" s="4">
        <f t="shared" si="0"/>
        <v>320000</v>
      </c>
      <c r="D62">
        <v>8.0000000000000071E-2</v>
      </c>
      <c r="E62">
        <v>2.1276595744680873</v>
      </c>
      <c r="F62">
        <v>2.1280000000000001</v>
      </c>
      <c r="G62">
        <v>1.8610000000000002</v>
      </c>
      <c r="H62">
        <v>697.00374531835212</v>
      </c>
    </row>
    <row r="63" spans="1:8" x14ac:dyDescent="0.2">
      <c r="A63" s="6">
        <v>40724</v>
      </c>
      <c r="B63">
        <v>3.76</v>
      </c>
      <c r="C63" s="4">
        <f t="shared" si="0"/>
        <v>313333.33333333331</v>
      </c>
      <c r="D63">
        <v>9.9999999999997868E-3</v>
      </c>
      <c r="E63">
        <v>0.266666666666661</v>
      </c>
      <c r="F63">
        <v>0.26700000000000002</v>
      </c>
      <c r="G63">
        <v>0.79800000000000004</v>
      </c>
      <c r="H63">
        <v>150.28248587570621</v>
      </c>
    </row>
    <row r="64" spans="1:8" x14ac:dyDescent="0.2">
      <c r="A64" s="6">
        <v>40633</v>
      </c>
      <c r="B64">
        <v>3.75</v>
      </c>
      <c r="C64" s="4">
        <f t="shared" si="0"/>
        <v>312500</v>
      </c>
      <c r="D64">
        <v>-2.0000000000000018E-2</v>
      </c>
      <c r="E64">
        <v>-0.53050397877984135</v>
      </c>
      <c r="F64">
        <v>-0.53100000000000003</v>
      </c>
      <c r="G64">
        <v>-10.765000000000001</v>
      </c>
      <c r="H64">
        <v>-105.18858706273207</v>
      </c>
    </row>
    <row r="65" spans="1:8" x14ac:dyDescent="0.2">
      <c r="A65" s="6">
        <v>40543</v>
      </c>
      <c r="B65">
        <v>3.77</v>
      </c>
      <c r="C65" s="4">
        <f t="shared" si="0"/>
        <v>314166.66666666669</v>
      </c>
      <c r="D65">
        <v>0.35000000000000009</v>
      </c>
      <c r="E65">
        <v>10.233918128654974</v>
      </c>
      <c r="F65">
        <v>10.234</v>
      </c>
      <c r="G65">
        <v>23.652000000000001</v>
      </c>
      <c r="H65">
        <v>176.27068117454169</v>
      </c>
    </row>
    <row r="66" spans="1:8" x14ac:dyDescent="0.2">
      <c r="A66" s="6">
        <v>40451</v>
      </c>
      <c r="B66">
        <v>3.42</v>
      </c>
      <c r="C66" s="4">
        <f t="shared" si="0"/>
        <v>285000</v>
      </c>
      <c r="D66">
        <v>-0.53000000000000025</v>
      </c>
      <c r="E66">
        <v>-13.417721518987348</v>
      </c>
      <c r="F66">
        <v>-13.417999999999999</v>
      </c>
      <c r="G66">
        <v>-12.414999999999999</v>
      </c>
      <c r="H66">
        <v>-1237.7866400797609</v>
      </c>
    </row>
    <row r="67" spans="1:8" x14ac:dyDescent="0.2">
      <c r="A67" s="6">
        <v>40359</v>
      </c>
      <c r="B67">
        <v>3.95</v>
      </c>
      <c r="C67" s="4">
        <f t="shared" si="0"/>
        <v>329166.66666666669</v>
      </c>
      <c r="D67">
        <v>-4.0000000000000036E-2</v>
      </c>
      <c r="E67">
        <v>-1.0025062656641612</v>
      </c>
      <c r="F67">
        <v>-1.0029999999999999</v>
      </c>
      <c r="G67">
        <v>-3.3109999999999999</v>
      </c>
      <c r="H67">
        <v>-143.4575389948007</v>
      </c>
    </row>
    <row r="68" spans="1:8" x14ac:dyDescent="0.2">
      <c r="A68" s="6">
        <v>40268</v>
      </c>
      <c r="B68">
        <v>3.99</v>
      </c>
      <c r="C68" s="4">
        <f t="shared" si="0"/>
        <v>332500</v>
      </c>
      <c r="D68">
        <v>9.0000000000000302E-2</v>
      </c>
      <c r="E68">
        <v>2.3076923076923155</v>
      </c>
      <c r="F68">
        <v>2.3079999999999998</v>
      </c>
      <c r="G68">
        <v>7.6479999999999997</v>
      </c>
      <c r="H68">
        <v>143.22097378277152</v>
      </c>
    </row>
    <row r="69" spans="1:8" x14ac:dyDescent="0.2">
      <c r="A69" s="6">
        <v>40178</v>
      </c>
      <c r="B69">
        <v>3.9</v>
      </c>
      <c r="C69" s="4">
        <f t="shared" si="0"/>
        <v>325000</v>
      </c>
      <c r="D69">
        <v>-0.2200000000000002</v>
      </c>
      <c r="E69">
        <v>-5.3398058252427232</v>
      </c>
      <c r="F69">
        <v>-5.34</v>
      </c>
      <c r="G69">
        <v>-17.908000000000001</v>
      </c>
      <c r="H69">
        <v>-142.48886059834501</v>
      </c>
    </row>
    <row r="70" spans="1:8" x14ac:dyDescent="0.2">
      <c r="A70" s="6">
        <v>40086</v>
      </c>
      <c r="B70">
        <v>4.12</v>
      </c>
      <c r="C70" s="4">
        <f t="shared" si="0"/>
        <v>343333.33333333331</v>
      </c>
      <c r="D70">
        <v>0.45999999999999996</v>
      </c>
      <c r="E70">
        <v>12.568306010928961</v>
      </c>
      <c r="F70">
        <v>12.568</v>
      </c>
      <c r="G70">
        <v>7.3959999999999999</v>
      </c>
      <c r="H70">
        <v>143.00077339520496</v>
      </c>
    </row>
    <row r="71" spans="1:8" x14ac:dyDescent="0.2">
      <c r="A71" s="6">
        <v>39994</v>
      </c>
      <c r="B71">
        <v>3.66</v>
      </c>
      <c r="C71" s="4">
        <f t="shared" si="0"/>
        <v>305000</v>
      </c>
      <c r="D71">
        <v>0.18000000000000016</v>
      </c>
      <c r="E71">
        <v>5.172413793103452</v>
      </c>
      <c r="F71">
        <v>5.1719999999999997</v>
      </c>
      <c r="G71">
        <v>8.2360000000000007</v>
      </c>
      <c r="H71">
        <v>268.79895561357705</v>
      </c>
    </row>
    <row r="72" spans="1:8" x14ac:dyDescent="0.2">
      <c r="A72" s="6">
        <v>39903</v>
      </c>
      <c r="B72">
        <v>3.48</v>
      </c>
      <c r="C72" s="4">
        <f t="shared" ref="C72:C85" si="1">B72*1000000/12</f>
        <v>290000</v>
      </c>
      <c r="D72">
        <v>-0.10999999999999988</v>
      </c>
      <c r="E72">
        <v>-3.0640668523676848</v>
      </c>
      <c r="F72">
        <v>-3.0640000000000001</v>
      </c>
      <c r="G72">
        <v>2.4619999999999997</v>
      </c>
      <c r="H72">
        <v>44.553022077452042</v>
      </c>
    </row>
    <row r="73" spans="1:8" x14ac:dyDescent="0.2">
      <c r="A73" s="6">
        <v>39813</v>
      </c>
      <c r="B73">
        <v>3.59</v>
      </c>
      <c r="C73" s="4">
        <f t="shared" si="1"/>
        <v>299166.66666666669</v>
      </c>
      <c r="D73">
        <v>-0.20999999999999996</v>
      </c>
      <c r="E73">
        <v>-5.5263157894736832</v>
      </c>
      <c r="F73">
        <v>-5.5259999999999998</v>
      </c>
      <c r="G73">
        <v>-10.209</v>
      </c>
      <c r="H73">
        <v>-218.00128122998078</v>
      </c>
    </row>
    <row r="74" spans="1:8" x14ac:dyDescent="0.2">
      <c r="A74" s="6">
        <v>39721</v>
      </c>
      <c r="B74">
        <v>3.8</v>
      </c>
      <c r="C74" s="4">
        <f t="shared" si="1"/>
        <v>316666.66666666669</v>
      </c>
      <c r="D74">
        <v>0.16999999999999993</v>
      </c>
      <c r="E74">
        <v>4.6831955922864994</v>
      </c>
      <c r="F74">
        <v>4.6829999999999998</v>
      </c>
      <c r="G74">
        <v>6.5749999999999993</v>
      </c>
      <c r="H74">
        <v>347.51585623678642</v>
      </c>
    </row>
    <row r="75" spans="1:8" x14ac:dyDescent="0.2">
      <c r="A75" s="6">
        <v>39629</v>
      </c>
      <c r="B75">
        <v>3.63</v>
      </c>
      <c r="C75" s="4">
        <f t="shared" si="1"/>
        <v>302500</v>
      </c>
      <c r="D75">
        <v>-7.0000000000000284E-2</v>
      </c>
      <c r="E75">
        <v>-1.8918918918918994</v>
      </c>
      <c r="F75">
        <v>-1.8919999999999999</v>
      </c>
      <c r="G75">
        <v>2.7470000000000003</v>
      </c>
      <c r="H75">
        <v>59.215348135374008</v>
      </c>
    </row>
    <row r="76" spans="1:8" x14ac:dyDescent="0.2">
      <c r="A76" s="6">
        <v>39538</v>
      </c>
      <c r="B76">
        <v>3.7</v>
      </c>
      <c r="C76" s="4">
        <f t="shared" si="1"/>
        <v>308333.33333333331</v>
      </c>
      <c r="D76">
        <v>-0.17999999999999972</v>
      </c>
      <c r="E76">
        <v>-4.6391752577319512</v>
      </c>
      <c r="F76">
        <v>-4.6390000000000002</v>
      </c>
      <c r="G76">
        <v>-1.8820000000000001</v>
      </c>
      <c r="H76">
        <v>-68.262604280014514</v>
      </c>
    </row>
    <row r="77" spans="1:8" x14ac:dyDescent="0.2">
      <c r="A77" s="6">
        <v>39447</v>
      </c>
      <c r="B77">
        <v>3.88</v>
      </c>
      <c r="C77" s="4">
        <f t="shared" si="1"/>
        <v>323333.33333333331</v>
      </c>
      <c r="D77">
        <v>-0.11000000000000032</v>
      </c>
      <c r="E77">
        <v>-2.7568922305764492</v>
      </c>
      <c r="F77">
        <v>-2.7570000000000001</v>
      </c>
      <c r="G77">
        <v>8.3789999999999996</v>
      </c>
      <c r="H77">
        <v>75.24245689655173</v>
      </c>
    </row>
    <row r="78" spans="1:8" x14ac:dyDescent="0.2">
      <c r="A78" s="6">
        <v>39353</v>
      </c>
      <c r="B78">
        <v>3.99</v>
      </c>
      <c r="C78" s="4">
        <f t="shared" si="1"/>
        <v>332500</v>
      </c>
      <c r="D78">
        <v>-0.5</v>
      </c>
      <c r="E78">
        <v>-11.135857461024498</v>
      </c>
      <c r="F78">
        <v>-11.135999999999999</v>
      </c>
      <c r="G78">
        <v>-5.0689999999999991</v>
      </c>
      <c r="H78">
        <v>-83.550354376133157</v>
      </c>
    </row>
    <row r="79" spans="1:8" x14ac:dyDescent="0.2">
      <c r="A79" s="6">
        <v>39262</v>
      </c>
      <c r="B79">
        <v>4.49</v>
      </c>
      <c r="C79" s="4">
        <f t="shared" si="1"/>
        <v>374166.66666666669</v>
      </c>
      <c r="D79">
        <v>-0.29000000000000004</v>
      </c>
      <c r="E79">
        <v>-6.0669456066945608</v>
      </c>
      <c r="F79">
        <v>-6.0670000000000002</v>
      </c>
      <c r="G79">
        <v>8.7279999999999998</v>
      </c>
      <c r="H79">
        <v>58.992903007772895</v>
      </c>
    </row>
    <row r="80" spans="1:8" x14ac:dyDescent="0.2">
      <c r="A80" s="6">
        <v>39171</v>
      </c>
      <c r="B80">
        <v>4.78</v>
      </c>
      <c r="C80" s="4">
        <f t="shared" si="1"/>
        <v>398333.33333333331</v>
      </c>
      <c r="D80">
        <v>-0.83000000000000007</v>
      </c>
      <c r="E80">
        <v>-14.795008912655971</v>
      </c>
      <c r="F80">
        <v>-14.795</v>
      </c>
      <c r="G80">
        <v>-16.795000000000002</v>
      </c>
      <c r="H80">
        <v>-839.75000000000011</v>
      </c>
    </row>
    <row r="81" spans="1:8" x14ac:dyDescent="0.2">
      <c r="A81" s="6">
        <v>39080</v>
      </c>
      <c r="B81">
        <v>5.61</v>
      </c>
      <c r="C81" s="4">
        <f t="shared" si="1"/>
        <v>467500</v>
      </c>
      <c r="D81">
        <v>0.11000000000000032</v>
      </c>
      <c r="E81">
        <v>2.0000000000000058</v>
      </c>
      <c r="F81">
        <v>2</v>
      </c>
      <c r="G81">
        <v>5.5090000000000003</v>
      </c>
      <c r="H81">
        <v>156.99629524080939</v>
      </c>
    </row>
    <row r="82" spans="1:8" x14ac:dyDescent="0.2">
      <c r="A82" s="6">
        <v>38989</v>
      </c>
      <c r="B82">
        <v>5.5</v>
      </c>
      <c r="C82" s="4">
        <f t="shared" si="1"/>
        <v>458333.33333333331</v>
      </c>
      <c r="D82">
        <v>-0.20000000000000018</v>
      </c>
      <c r="E82">
        <v>-3.5087719298245643</v>
      </c>
      <c r="F82">
        <v>-3.5089999999999999</v>
      </c>
      <c r="G82">
        <v>1.3320000000000003</v>
      </c>
      <c r="H82">
        <v>27.514976244577568</v>
      </c>
    </row>
    <row r="83" spans="1:8" x14ac:dyDescent="0.2">
      <c r="A83" s="6">
        <v>38898</v>
      </c>
      <c r="B83">
        <v>5.7</v>
      </c>
      <c r="C83" s="4">
        <f t="shared" si="1"/>
        <v>475000</v>
      </c>
      <c r="D83">
        <v>-0.29000000000000004</v>
      </c>
      <c r="E83">
        <v>-4.8414023372287147</v>
      </c>
      <c r="F83">
        <v>-4.8410000000000002</v>
      </c>
      <c r="G83">
        <v>-5.5129999999999999</v>
      </c>
      <c r="H83">
        <v>-820.38690476190459</v>
      </c>
    </row>
    <row r="84" spans="1:8" x14ac:dyDescent="0.2">
      <c r="A84" s="6">
        <v>38807</v>
      </c>
      <c r="B84">
        <v>5.99</v>
      </c>
      <c r="C84" s="4">
        <f t="shared" si="1"/>
        <v>499166.66666666669</v>
      </c>
      <c r="D84">
        <v>4.0000000000000036E-2</v>
      </c>
      <c r="E84">
        <v>0.67226890756302582</v>
      </c>
      <c r="F84">
        <v>0.67200000000000004</v>
      </c>
      <c r="G84">
        <v>6.8229999999999995</v>
      </c>
      <c r="H84">
        <v>110.92505283693708</v>
      </c>
    </row>
    <row r="85" spans="1:8" x14ac:dyDescent="0.2">
      <c r="A85" s="6">
        <v>38716</v>
      </c>
      <c r="B85">
        <v>5.95</v>
      </c>
      <c r="C85" s="4">
        <f t="shared" si="1"/>
        <v>495833.33333333331</v>
      </c>
      <c r="F85">
        <v>-6.1509999999999998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6C30-0F1C-4943-9BF3-A44A553EBBC0}">
  <dimension ref="A1:H86"/>
  <sheetViews>
    <sheetView topLeftCell="A47" workbookViewId="0">
      <selection activeCell="A8" sqref="A8"/>
    </sheetView>
  </sheetViews>
  <sheetFormatPr baseColWidth="10" defaultColWidth="8.83203125" defaultRowHeight="15" outlineLevelCol="1" x14ac:dyDescent="0.2"/>
  <cols>
    <col min="1" max="1" width="12.1640625" customWidth="1"/>
    <col min="2" max="2" width="25.83203125" customWidth="1"/>
    <col min="3" max="6" width="9.1640625" hidden="1" customWidth="1" outlineLevel="1"/>
    <col min="7" max="7" width="11.5" hidden="1" customWidth="1" outlineLevel="1"/>
    <col min="8" max="8" width="9.1640625" collapsed="1"/>
  </cols>
  <sheetData>
    <row r="1" spans="1:8" x14ac:dyDescent="0.2">
      <c r="A1" t="s">
        <v>0</v>
      </c>
      <c r="B1" t="s">
        <v>66</v>
      </c>
    </row>
    <row r="2" spans="1:8" x14ac:dyDescent="0.2">
      <c r="A2" t="s">
        <v>2</v>
      </c>
      <c r="B2" s="5">
        <v>38716</v>
      </c>
    </row>
    <row r="3" spans="1:8" x14ac:dyDescent="0.2">
      <c r="A3" t="s">
        <v>3</v>
      </c>
      <c r="B3" s="5">
        <v>45930</v>
      </c>
    </row>
    <row r="4" spans="1:8" x14ac:dyDescent="0.2">
      <c r="A4" t="s">
        <v>4</v>
      </c>
      <c r="B4" t="s">
        <v>19</v>
      </c>
    </row>
    <row r="6" spans="1:8" x14ac:dyDescent="0.2">
      <c r="A6" t="s">
        <v>6</v>
      </c>
      <c r="B6" t="s">
        <v>68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45930</v>
      </c>
      <c r="B7">
        <v>32</v>
      </c>
      <c r="C7">
        <v>0</v>
      </c>
      <c r="D7" s="1">
        <v>0</v>
      </c>
      <c r="E7">
        <v>0</v>
      </c>
      <c r="F7">
        <v>18</v>
      </c>
      <c r="G7" s="1">
        <v>1</v>
      </c>
    </row>
    <row r="8" spans="1:8" x14ac:dyDescent="0.2">
      <c r="A8" s="6">
        <v>45838</v>
      </c>
      <c r="B8">
        <v>32</v>
      </c>
      <c r="C8">
        <v>-7</v>
      </c>
      <c r="D8" s="1">
        <v>-0.17949999999999999</v>
      </c>
      <c r="E8">
        <v>-18</v>
      </c>
      <c r="F8">
        <v>-3</v>
      </c>
      <c r="G8" s="1">
        <v>-0.17949999999999999</v>
      </c>
    </row>
    <row r="9" spans="1:8" x14ac:dyDescent="0.2">
      <c r="A9" s="6">
        <v>45747</v>
      </c>
      <c r="B9">
        <v>39</v>
      </c>
      <c r="C9">
        <v>-7</v>
      </c>
      <c r="D9" s="1">
        <v>-0.1522</v>
      </c>
      <c r="E9">
        <v>-15</v>
      </c>
      <c r="F9">
        <v>-27</v>
      </c>
      <c r="G9" s="1">
        <v>-2.2477999999999998</v>
      </c>
    </row>
    <row r="10" spans="1:8" x14ac:dyDescent="0.2">
      <c r="A10" s="6">
        <v>45657</v>
      </c>
      <c r="B10">
        <v>46</v>
      </c>
      <c r="C10">
        <v>5</v>
      </c>
      <c r="D10" s="1">
        <v>0.122</v>
      </c>
      <c r="E10">
        <v>12</v>
      </c>
      <c r="F10">
        <v>17</v>
      </c>
      <c r="G10" s="1">
        <v>3.6219999999999999</v>
      </c>
    </row>
    <row r="11" spans="1:8" x14ac:dyDescent="0.2">
      <c r="A11" s="6">
        <v>45565</v>
      </c>
      <c r="B11">
        <v>41</v>
      </c>
      <c r="C11">
        <v>-2</v>
      </c>
      <c r="D11" s="1">
        <v>-4.65E-2</v>
      </c>
      <c r="E11">
        <v>-5</v>
      </c>
      <c r="F11">
        <v>11</v>
      </c>
      <c r="G11" s="1">
        <v>0.70350000000000001</v>
      </c>
    </row>
    <row r="12" spans="1:8" x14ac:dyDescent="0.2">
      <c r="A12" s="6">
        <v>45471</v>
      </c>
      <c r="B12">
        <v>43</v>
      </c>
      <c r="C12">
        <v>-8</v>
      </c>
      <c r="D12" s="1">
        <v>-0.15690000000000001</v>
      </c>
      <c r="E12">
        <v>-16</v>
      </c>
      <c r="F12">
        <v>-54</v>
      </c>
      <c r="G12" s="1">
        <v>-1.4146000000000001</v>
      </c>
    </row>
    <row r="13" spans="1:8" x14ac:dyDescent="0.2">
      <c r="A13" s="6">
        <v>45380</v>
      </c>
      <c r="B13">
        <v>51</v>
      </c>
      <c r="C13">
        <v>14</v>
      </c>
      <c r="D13" s="1">
        <v>0.37840000000000001</v>
      </c>
      <c r="E13">
        <v>38</v>
      </c>
      <c r="F13">
        <v>54</v>
      </c>
      <c r="G13" s="1">
        <v>3.3784000000000001</v>
      </c>
    </row>
    <row r="14" spans="1:8" x14ac:dyDescent="0.2">
      <c r="A14" s="6">
        <v>45289</v>
      </c>
      <c r="B14">
        <v>37</v>
      </c>
      <c r="C14">
        <v>-7</v>
      </c>
      <c r="D14" s="1">
        <v>-0.15909999999999999</v>
      </c>
      <c r="E14">
        <v>-16</v>
      </c>
      <c r="F14">
        <v>4</v>
      </c>
      <c r="G14" s="1">
        <v>0.20449999999999999</v>
      </c>
    </row>
    <row r="15" spans="1:8" x14ac:dyDescent="0.2">
      <c r="A15" s="6">
        <v>45198</v>
      </c>
      <c r="B15">
        <v>44</v>
      </c>
      <c r="C15">
        <v>-11</v>
      </c>
      <c r="D15" s="1">
        <v>-0.2</v>
      </c>
      <c r="E15">
        <v>-20</v>
      </c>
      <c r="F15">
        <v>-45</v>
      </c>
      <c r="G15" s="1">
        <v>-1.8</v>
      </c>
    </row>
    <row r="16" spans="1:8" x14ac:dyDescent="0.2">
      <c r="A16" s="6">
        <v>45107</v>
      </c>
      <c r="B16">
        <v>55</v>
      </c>
      <c r="C16">
        <v>11</v>
      </c>
      <c r="D16" s="1">
        <v>0.25</v>
      </c>
      <c r="E16">
        <v>25</v>
      </c>
      <c r="F16">
        <v>-17</v>
      </c>
      <c r="G16" s="1">
        <v>-0.40379999999999999</v>
      </c>
    </row>
    <row r="17" spans="1:7" x14ac:dyDescent="0.2">
      <c r="A17" s="6">
        <v>45016</v>
      </c>
      <c r="B17">
        <v>44</v>
      </c>
      <c r="C17">
        <v>13</v>
      </c>
      <c r="D17" s="1">
        <v>0.4194</v>
      </c>
      <c r="E17">
        <v>42</v>
      </c>
      <c r="F17">
        <v>75</v>
      </c>
      <c r="G17" s="1">
        <v>2.286</v>
      </c>
    </row>
    <row r="18" spans="1:7" x14ac:dyDescent="0.2">
      <c r="A18" s="6">
        <v>44925</v>
      </c>
      <c r="B18">
        <v>31</v>
      </c>
      <c r="C18">
        <v>-15</v>
      </c>
      <c r="D18" s="1">
        <v>-0.3261</v>
      </c>
      <c r="E18">
        <v>-33</v>
      </c>
      <c r="F18">
        <v>-1</v>
      </c>
      <c r="G18" s="1">
        <v>-4.0399999999999998E-2</v>
      </c>
    </row>
    <row r="19" spans="1:7" x14ac:dyDescent="0.2">
      <c r="A19" s="6">
        <v>44834</v>
      </c>
      <c r="B19">
        <v>46</v>
      </c>
      <c r="C19">
        <v>-21</v>
      </c>
      <c r="D19" s="1">
        <v>-0.31340000000000001</v>
      </c>
      <c r="E19">
        <v>-31</v>
      </c>
      <c r="F19">
        <v>-16</v>
      </c>
      <c r="G19" s="1">
        <v>-1.0633999999999999</v>
      </c>
    </row>
    <row r="20" spans="1:7" x14ac:dyDescent="0.2">
      <c r="A20" s="6">
        <v>44742</v>
      </c>
      <c r="B20">
        <v>67</v>
      </c>
      <c r="C20">
        <v>-12</v>
      </c>
      <c r="D20" s="1">
        <v>-0.15190000000000001</v>
      </c>
      <c r="E20">
        <v>-15</v>
      </c>
      <c r="F20">
        <v>-9</v>
      </c>
      <c r="G20" s="1">
        <v>-1.5519000000000001</v>
      </c>
    </row>
    <row r="21" spans="1:7" x14ac:dyDescent="0.2">
      <c r="A21" s="6">
        <v>44651</v>
      </c>
      <c r="B21">
        <v>79</v>
      </c>
      <c r="C21">
        <v>-5</v>
      </c>
      <c r="D21" s="1">
        <v>-5.9499999999999997E-2</v>
      </c>
      <c r="E21">
        <v>-6</v>
      </c>
      <c r="F21">
        <v>-16</v>
      </c>
      <c r="G21" s="1">
        <v>-1.5654999999999999</v>
      </c>
    </row>
    <row r="22" spans="1:7" x14ac:dyDescent="0.2">
      <c r="A22" s="6">
        <v>44561</v>
      </c>
      <c r="B22">
        <v>84</v>
      </c>
      <c r="C22">
        <v>8</v>
      </c>
      <c r="D22" s="1">
        <v>0.1053</v>
      </c>
      <c r="E22">
        <v>11</v>
      </c>
      <c r="F22">
        <v>17</v>
      </c>
      <c r="G22" s="1">
        <v>2.7052999999999998</v>
      </c>
    </row>
    <row r="23" spans="1:7" x14ac:dyDescent="0.2">
      <c r="A23" s="6">
        <v>44469</v>
      </c>
      <c r="B23">
        <v>76</v>
      </c>
      <c r="C23">
        <v>-5</v>
      </c>
      <c r="D23" s="1">
        <v>-6.1699999999999998E-2</v>
      </c>
      <c r="E23">
        <v>-6</v>
      </c>
      <c r="F23">
        <v>-5</v>
      </c>
      <c r="G23" s="1">
        <v>-4.0617000000000001</v>
      </c>
    </row>
    <row r="24" spans="1:7" x14ac:dyDescent="0.2">
      <c r="A24" s="6">
        <v>44377</v>
      </c>
      <c r="B24">
        <v>81</v>
      </c>
      <c r="C24">
        <v>-1</v>
      </c>
      <c r="D24" s="1">
        <v>-1.2200000000000001E-2</v>
      </c>
      <c r="E24">
        <v>-1</v>
      </c>
      <c r="F24">
        <v>3</v>
      </c>
      <c r="G24" s="1">
        <v>0.73780000000000001</v>
      </c>
    </row>
    <row r="25" spans="1:7" x14ac:dyDescent="0.2">
      <c r="A25" s="6">
        <v>44286</v>
      </c>
      <c r="B25">
        <v>82</v>
      </c>
      <c r="C25">
        <v>-4</v>
      </c>
      <c r="D25" s="1">
        <v>-4.65E-2</v>
      </c>
      <c r="E25">
        <v>-5</v>
      </c>
      <c r="F25">
        <v>-8</v>
      </c>
      <c r="G25" s="1">
        <v>-2.2867999999999999</v>
      </c>
    </row>
    <row r="26" spans="1:7" x14ac:dyDescent="0.2">
      <c r="A26" s="6">
        <v>44196</v>
      </c>
      <c r="B26">
        <v>86</v>
      </c>
      <c r="C26">
        <v>3</v>
      </c>
      <c r="D26" s="1">
        <v>3.61E-2</v>
      </c>
      <c r="E26">
        <v>4</v>
      </c>
      <c r="F26">
        <v>-39</v>
      </c>
      <c r="G26" s="1">
        <v>-0.91610000000000003</v>
      </c>
    </row>
    <row r="27" spans="1:7" x14ac:dyDescent="0.2">
      <c r="A27" s="6">
        <v>44104</v>
      </c>
      <c r="B27">
        <v>83</v>
      </c>
      <c r="C27">
        <v>25</v>
      </c>
      <c r="D27" s="1">
        <v>0.43099999999999999</v>
      </c>
      <c r="E27">
        <v>43</v>
      </c>
      <c r="F27">
        <v>63</v>
      </c>
      <c r="G27" s="1">
        <v>3.2166999999999999</v>
      </c>
    </row>
    <row r="28" spans="1:7" x14ac:dyDescent="0.2">
      <c r="A28" s="6">
        <v>44012</v>
      </c>
      <c r="B28">
        <v>58</v>
      </c>
      <c r="C28">
        <v>-14</v>
      </c>
      <c r="D28" s="1">
        <v>-0.19439999999999999</v>
      </c>
      <c r="E28">
        <v>-19</v>
      </c>
      <c r="F28">
        <v>-14</v>
      </c>
      <c r="G28" s="1">
        <v>-2.6943999999999999</v>
      </c>
    </row>
    <row r="29" spans="1:7" x14ac:dyDescent="0.2">
      <c r="A29" s="6">
        <v>43921</v>
      </c>
      <c r="B29">
        <v>72</v>
      </c>
      <c r="C29">
        <v>-4</v>
      </c>
      <c r="D29" s="1">
        <v>-5.2600000000000001E-2</v>
      </c>
      <c r="E29">
        <v>-5</v>
      </c>
      <c r="F29">
        <v>-17</v>
      </c>
      <c r="G29" s="1">
        <v>-1.4474</v>
      </c>
    </row>
    <row r="30" spans="1:7" x14ac:dyDescent="0.2">
      <c r="A30" s="6">
        <v>43830</v>
      </c>
      <c r="B30">
        <v>76</v>
      </c>
      <c r="C30">
        <v>8</v>
      </c>
      <c r="D30" s="1">
        <v>0.1176</v>
      </c>
      <c r="E30">
        <v>12</v>
      </c>
      <c r="F30">
        <v>6</v>
      </c>
      <c r="G30" s="1">
        <v>0.88239999999999996</v>
      </c>
    </row>
    <row r="31" spans="1:7" x14ac:dyDescent="0.2">
      <c r="A31" s="6">
        <v>43738</v>
      </c>
      <c r="B31">
        <v>68</v>
      </c>
      <c r="C31">
        <v>4</v>
      </c>
      <c r="D31" s="1">
        <v>6.25E-2</v>
      </c>
      <c r="E31">
        <v>6</v>
      </c>
      <c r="F31">
        <v>3</v>
      </c>
      <c r="G31" s="1">
        <v>0.9375</v>
      </c>
    </row>
    <row r="32" spans="1:7" x14ac:dyDescent="0.2">
      <c r="A32" s="6">
        <v>43644</v>
      </c>
      <c r="B32">
        <v>64</v>
      </c>
      <c r="C32">
        <v>2</v>
      </c>
      <c r="D32" s="1">
        <v>3.2300000000000002E-2</v>
      </c>
      <c r="E32">
        <v>3</v>
      </c>
      <c r="F32">
        <v>-7</v>
      </c>
      <c r="G32" s="1">
        <v>-0.69889999999999997</v>
      </c>
    </row>
    <row r="33" spans="1:7" x14ac:dyDescent="0.2">
      <c r="A33" s="6">
        <v>43553</v>
      </c>
      <c r="B33">
        <v>62</v>
      </c>
      <c r="C33">
        <v>6</v>
      </c>
      <c r="D33" s="1">
        <v>0.1071</v>
      </c>
      <c r="E33">
        <v>11</v>
      </c>
      <c r="F33">
        <v>27</v>
      </c>
      <c r="G33" s="1">
        <v>1.6526000000000001</v>
      </c>
    </row>
    <row r="34" spans="1:7" x14ac:dyDescent="0.2">
      <c r="A34" s="6">
        <v>43465</v>
      </c>
      <c r="B34">
        <v>56</v>
      </c>
      <c r="C34">
        <v>-11</v>
      </c>
      <c r="D34" s="1">
        <v>-0.16420000000000001</v>
      </c>
      <c r="E34">
        <v>-16</v>
      </c>
      <c r="F34">
        <v>-15</v>
      </c>
      <c r="G34" s="1">
        <v>-10.164199999999999</v>
      </c>
    </row>
    <row r="35" spans="1:7" x14ac:dyDescent="0.2">
      <c r="A35" s="6">
        <v>43371</v>
      </c>
      <c r="B35">
        <v>67</v>
      </c>
      <c r="C35">
        <v>-1</v>
      </c>
      <c r="D35" s="1">
        <v>-1.47E-2</v>
      </c>
      <c r="E35">
        <v>-1</v>
      </c>
      <c r="F35">
        <v>1</v>
      </c>
      <c r="G35" s="1">
        <v>0.48530000000000001</v>
      </c>
    </row>
    <row r="36" spans="1:7" x14ac:dyDescent="0.2">
      <c r="A36" s="6">
        <v>43280</v>
      </c>
      <c r="B36">
        <v>68</v>
      </c>
      <c r="C36">
        <v>-2</v>
      </c>
      <c r="D36" s="1">
        <v>-2.86E-2</v>
      </c>
      <c r="E36">
        <v>-3</v>
      </c>
      <c r="F36">
        <v>3</v>
      </c>
      <c r="G36" s="1">
        <v>0.47139999999999999</v>
      </c>
    </row>
    <row r="37" spans="1:7" x14ac:dyDescent="0.2">
      <c r="A37" s="6">
        <v>43189</v>
      </c>
      <c r="B37">
        <v>70</v>
      </c>
      <c r="C37">
        <v>-4</v>
      </c>
      <c r="D37" s="1">
        <v>-5.4100000000000002E-2</v>
      </c>
      <c r="E37">
        <v>-5</v>
      </c>
      <c r="F37">
        <v>-21</v>
      </c>
      <c r="G37" s="1">
        <v>-1.3459000000000001</v>
      </c>
    </row>
    <row r="38" spans="1:7" x14ac:dyDescent="0.2">
      <c r="A38" s="6">
        <v>43098</v>
      </c>
      <c r="B38">
        <v>74</v>
      </c>
      <c r="C38">
        <v>10</v>
      </c>
      <c r="D38" s="1">
        <v>0.15629999999999999</v>
      </c>
      <c r="E38">
        <v>16</v>
      </c>
      <c r="F38">
        <v>19</v>
      </c>
      <c r="G38" s="1">
        <v>6.1562999999999999</v>
      </c>
    </row>
    <row r="39" spans="1:7" x14ac:dyDescent="0.2">
      <c r="A39" s="6">
        <v>43007</v>
      </c>
      <c r="B39">
        <v>64</v>
      </c>
      <c r="C39">
        <v>-2</v>
      </c>
      <c r="D39" s="1">
        <v>-3.0300000000000001E-2</v>
      </c>
      <c r="E39">
        <v>-3</v>
      </c>
      <c r="F39">
        <v>4</v>
      </c>
      <c r="G39" s="1">
        <v>0.56969999999999998</v>
      </c>
    </row>
    <row r="40" spans="1:7" x14ac:dyDescent="0.2">
      <c r="A40" s="6">
        <v>42916</v>
      </c>
      <c r="B40">
        <v>66</v>
      </c>
      <c r="C40">
        <v>-5</v>
      </c>
      <c r="D40" s="1">
        <v>-7.0400000000000004E-2</v>
      </c>
      <c r="E40">
        <v>-7</v>
      </c>
      <c r="F40">
        <v>-10</v>
      </c>
      <c r="G40" s="1">
        <v>-3.4296000000000002</v>
      </c>
    </row>
    <row r="41" spans="1:7" x14ac:dyDescent="0.2">
      <c r="A41" s="6">
        <v>42825</v>
      </c>
      <c r="B41">
        <v>71</v>
      </c>
      <c r="C41">
        <v>2</v>
      </c>
      <c r="D41" s="1">
        <v>2.9000000000000001E-2</v>
      </c>
      <c r="E41">
        <v>3</v>
      </c>
      <c r="F41">
        <v>-3</v>
      </c>
      <c r="G41" s="1">
        <v>-0.52900000000000003</v>
      </c>
    </row>
    <row r="42" spans="1:7" x14ac:dyDescent="0.2">
      <c r="A42" s="6">
        <v>42734</v>
      </c>
      <c r="B42">
        <v>69</v>
      </c>
      <c r="C42">
        <v>4</v>
      </c>
      <c r="D42" s="1">
        <v>6.1499999999999999E-2</v>
      </c>
      <c r="E42">
        <v>6</v>
      </c>
      <c r="F42">
        <v>-2</v>
      </c>
      <c r="G42" s="1">
        <v>-0.26150000000000001</v>
      </c>
    </row>
    <row r="43" spans="1:7" x14ac:dyDescent="0.2">
      <c r="A43" s="6">
        <v>42643</v>
      </c>
      <c r="B43">
        <v>65</v>
      </c>
      <c r="C43">
        <v>5</v>
      </c>
      <c r="D43" s="1">
        <v>8.3299999999999999E-2</v>
      </c>
      <c r="E43">
        <v>8</v>
      </c>
      <c r="F43">
        <v>5</v>
      </c>
      <c r="G43" s="1">
        <v>1.4167000000000001</v>
      </c>
    </row>
    <row r="44" spans="1:7" x14ac:dyDescent="0.2">
      <c r="A44" s="6">
        <v>42551</v>
      </c>
      <c r="B44">
        <v>60</v>
      </c>
      <c r="C44">
        <v>2</v>
      </c>
      <c r="D44" s="1">
        <v>3.4500000000000003E-2</v>
      </c>
      <c r="E44">
        <v>3</v>
      </c>
      <c r="F44">
        <v>7</v>
      </c>
      <c r="G44" s="1">
        <v>2.0345</v>
      </c>
    </row>
    <row r="45" spans="1:7" x14ac:dyDescent="0.2">
      <c r="A45" s="6">
        <v>42460</v>
      </c>
      <c r="B45">
        <v>58</v>
      </c>
      <c r="C45">
        <v>-2</v>
      </c>
      <c r="D45" s="1">
        <v>-3.3300000000000003E-2</v>
      </c>
      <c r="E45">
        <v>-3</v>
      </c>
      <c r="F45">
        <v>-2</v>
      </c>
      <c r="G45" s="1">
        <v>-1.0333000000000001</v>
      </c>
    </row>
    <row r="46" spans="1:7" x14ac:dyDescent="0.2">
      <c r="A46" s="6">
        <v>42369</v>
      </c>
      <c r="B46">
        <v>60</v>
      </c>
      <c r="C46">
        <v>-1</v>
      </c>
      <c r="D46" s="1">
        <v>-1.6400000000000001E-2</v>
      </c>
      <c r="E46">
        <v>-2</v>
      </c>
      <c r="F46">
        <v>-3</v>
      </c>
      <c r="G46" s="1">
        <v>-1.9836</v>
      </c>
    </row>
    <row r="47" spans="1:7" x14ac:dyDescent="0.2">
      <c r="A47" s="6">
        <v>42277</v>
      </c>
      <c r="B47">
        <v>61</v>
      </c>
      <c r="C47">
        <v>1</v>
      </c>
      <c r="D47" s="1">
        <v>1.67E-2</v>
      </c>
      <c r="E47">
        <v>2</v>
      </c>
      <c r="F47">
        <v>-14</v>
      </c>
      <c r="G47" s="1">
        <v>-0.89170000000000005</v>
      </c>
    </row>
    <row r="48" spans="1:7" x14ac:dyDescent="0.2">
      <c r="A48" s="6">
        <v>42185</v>
      </c>
      <c r="B48">
        <v>60</v>
      </c>
      <c r="C48">
        <v>8</v>
      </c>
      <c r="D48" s="1">
        <v>0.15379999999999999</v>
      </c>
      <c r="E48">
        <v>15</v>
      </c>
      <c r="F48">
        <v>26</v>
      </c>
      <c r="G48" s="1">
        <v>2.4872000000000001</v>
      </c>
    </row>
    <row r="49" spans="1:7" x14ac:dyDescent="0.2">
      <c r="A49" s="6">
        <v>42094</v>
      </c>
      <c r="B49">
        <v>52</v>
      </c>
      <c r="C49">
        <v>-6</v>
      </c>
      <c r="D49" s="1">
        <v>-0.10340000000000001</v>
      </c>
      <c r="E49">
        <v>-10</v>
      </c>
      <c r="F49">
        <v>-9</v>
      </c>
      <c r="G49" s="1">
        <v>-5.1033999999999997</v>
      </c>
    </row>
    <row r="50" spans="1:7" x14ac:dyDescent="0.2">
      <c r="A50" s="6">
        <v>42004</v>
      </c>
      <c r="B50">
        <v>58</v>
      </c>
      <c r="C50">
        <v>-1</v>
      </c>
      <c r="D50" s="1">
        <v>-1.6899999999999998E-2</v>
      </c>
      <c r="E50">
        <v>-2</v>
      </c>
      <c r="F50">
        <v>-22</v>
      </c>
      <c r="G50" s="1">
        <v>-1.0831</v>
      </c>
    </row>
    <row r="51" spans="1:7" x14ac:dyDescent="0.2">
      <c r="A51" s="6">
        <v>41912</v>
      </c>
      <c r="B51">
        <v>59</v>
      </c>
      <c r="C51">
        <v>10</v>
      </c>
      <c r="D51" s="1">
        <v>0.2041</v>
      </c>
      <c r="E51">
        <v>20</v>
      </c>
      <c r="F51">
        <v>14</v>
      </c>
      <c r="G51" s="1">
        <v>2.1293000000000002</v>
      </c>
    </row>
    <row r="52" spans="1:7" x14ac:dyDescent="0.2">
      <c r="A52" s="6">
        <v>41820</v>
      </c>
      <c r="B52">
        <v>49</v>
      </c>
      <c r="C52">
        <v>3</v>
      </c>
      <c r="D52" s="1">
        <v>6.5199999999999994E-2</v>
      </c>
      <c r="E52">
        <v>7</v>
      </c>
      <c r="F52">
        <v>26</v>
      </c>
      <c r="G52" s="1">
        <v>1.3379000000000001</v>
      </c>
    </row>
    <row r="53" spans="1:7" x14ac:dyDescent="0.2">
      <c r="A53" s="6">
        <v>41729</v>
      </c>
      <c r="B53">
        <v>46</v>
      </c>
      <c r="C53">
        <v>-11</v>
      </c>
      <c r="D53" s="1">
        <v>-0.193</v>
      </c>
      <c r="E53">
        <v>-19</v>
      </c>
      <c r="F53">
        <v>-19</v>
      </c>
      <c r="G53" t="e" cm="1">
        <f t="array" ref="G53">-Inf</f>
        <v>#NAME?</v>
      </c>
    </row>
    <row r="54" spans="1:7" x14ac:dyDescent="0.2">
      <c r="A54" s="6">
        <v>41639</v>
      </c>
      <c r="B54">
        <v>57</v>
      </c>
      <c r="C54">
        <v>0</v>
      </c>
      <c r="D54" s="1">
        <v>0</v>
      </c>
      <c r="E54">
        <v>0</v>
      </c>
      <c r="F54">
        <v>-12</v>
      </c>
      <c r="G54" s="1">
        <v>-1</v>
      </c>
    </row>
    <row r="55" spans="1:7" x14ac:dyDescent="0.2">
      <c r="A55" s="6">
        <v>41547</v>
      </c>
      <c r="B55">
        <v>57</v>
      </c>
      <c r="C55">
        <v>6</v>
      </c>
      <c r="D55" s="1">
        <v>0.1176</v>
      </c>
      <c r="E55">
        <v>12</v>
      </c>
      <c r="F55">
        <v>-4</v>
      </c>
      <c r="G55" s="1">
        <v>-0.26050000000000001</v>
      </c>
    </row>
    <row r="56" spans="1:7" x14ac:dyDescent="0.2">
      <c r="A56" s="6">
        <v>41453</v>
      </c>
      <c r="B56">
        <v>51</v>
      </c>
      <c r="C56">
        <v>7</v>
      </c>
      <c r="D56" s="1">
        <v>0.15909999999999999</v>
      </c>
      <c r="E56">
        <v>16</v>
      </c>
      <c r="F56">
        <v>22</v>
      </c>
      <c r="G56" s="1">
        <v>3.4923999999999999</v>
      </c>
    </row>
    <row r="57" spans="1:7" x14ac:dyDescent="0.2">
      <c r="A57" s="6">
        <v>41362</v>
      </c>
      <c r="B57">
        <v>44</v>
      </c>
      <c r="C57">
        <v>-3</v>
      </c>
      <c r="D57" s="1">
        <v>-6.3799999999999996E-2</v>
      </c>
      <c r="E57">
        <v>-6</v>
      </c>
      <c r="F57">
        <v>-24</v>
      </c>
      <c r="G57" s="1">
        <v>-1.3647</v>
      </c>
    </row>
    <row r="58" spans="1:7" x14ac:dyDescent="0.2">
      <c r="A58" s="6">
        <v>41274</v>
      </c>
      <c r="B58">
        <v>47</v>
      </c>
      <c r="C58">
        <v>7</v>
      </c>
      <c r="D58" s="1">
        <v>0.17499999999999999</v>
      </c>
      <c r="E58">
        <v>18</v>
      </c>
      <c r="F58">
        <v>-20</v>
      </c>
      <c r="G58" s="1">
        <v>-0.53859999999999997</v>
      </c>
    </row>
    <row r="59" spans="1:7" x14ac:dyDescent="0.2">
      <c r="A59" s="6">
        <v>41180</v>
      </c>
      <c r="B59">
        <v>40</v>
      </c>
      <c r="C59">
        <v>11</v>
      </c>
      <c r="D59" s="1">
        <v>0.37930000000000003</v>
      </c>
      <c r="E59">
        <v>38</v>
      </c>
      <c r="F59">
        <v>34</v>
      </c>
      <c r="G59" s="1">
        <v>9.6206999999999994</v>
      </c>
    </row>
    <row r="60" spans="1:7" x14ac:dyDescent="0.2">
      <c r="A60" s="6">
        <v>41089</v>
      </c>
      <c r="B60">
        <v>29</v>
      </c>
      <c r="C60">
        <v>1</v>
      </c>
      <c r="D60" s="1">
        <v>3.5700000000000003E-2</v>
      </c>
      <c r="E60">
        <v>4</v>
      </c>
      <c r="F60">
        <v>-30</v>
      </c>
      <c r="G60" s="1">
        <v>-0.89290000000000003</v>
      </c>
    </row>
    <row r="61" spans="1:7" x14ac:dyDescent="0.2">
      <c r="A61" s="6">
        <v>40998</v>
      </c>
      <c r="B61">
        <v>28</v>
      </c>
      <c r="C61">
        <v>7</v>
      </c>
      <c r="D61" s="1">
        <v>0.33329999999999999</v>
      </c>
      <c r="E61">
        <v>33</v>
      </c>
      <c r="F61">
        <v>-17</v>
      </c>
      <c r="G61" s="1">
        <v>-0.33329999999999999</v>
      </c>
    </row>
    <row r="62" spans="1:7" x14ac:dyDescent="0.2">
      <c r="A62" s="6">
        <v>40907</v>
      </c>
      <c r="B62">
        <v>21</v>
      </c>
      <c r="C62">
        <v>7</v>
      </c>
      <c r="D62" s="1">
        <v>0.5</v>
      </c>
      <c r="E62">
        <v>50</v>
      </c>
      <c r="F62">
        <v>42</v>
      </c>
      <c r="G62" s="1">
        <v>5.5</v>
      </c>
    </row>
    <row r="63" spans="1:7" x14ac:dyDescent="0.2">
      <c r="A63" s="6">
        <v>40816</v>
      </c>
      <c r="B63">
        <v>14</v>
      </c>
      <c r="C63">
        <v>1</v>
      </c>
      <c r="D63" s="1">
        <v>7.6899999999999996E-2</v>
      </c>
      <c r="E63">
        <v>8</v>
      </c>
      <c r="F63">
        <v>31</v>
      </c>
      <c r="G63" s="1">
        <v>1.3269</v>
      </c>
    </row>
    <row r="64" spans="1:7" x14ac:dyDescent="0.2">
      <c r="A64" s="6">
        <v>40724</v>
      </c>
      <c r="B64">
        <v>13</v>
      </c>
      <c r="C64">
        <v>-4</v>
      </c>
      <c r="D64" s="1">
        <v>-0.23530000000000001</v>
      </c>
      <c r="E64">
        <v>-24</v>
      </c>
      <c r="F64">
        <v>-30</v>
      </c>
      <c r="G64" s="1">
        <v>-4.7647000000000004</v>
      </c>
    </row>
    <row r="65" spans="1:7" x14ac:dyDescent="0.2">
      <c r="A65" s="6">
        <v>40633</v>
      </c>
      <c r="B65">
        <v>17</v>
      </c>
      <c r="C65">
        <v>1</v>
      </c>
      <c r="D65" s="1">
        <v>6.25E-2</v>
      </c>
      <c r="E65">
        <v>6</v>
      </c>
      <c r="F65">
        <v>-17</v>
      </c>
      <c r="G65" s="1">
        <v>-0.72919999999999996</v>
      </c>
    </row>
    <row r="66" spans="1:7" x14ac:dyDescent="0.2">
      <c r="A66" s="6">
        <v>40543</v>
      </c>
      <c r="B66">
        <v>16</v>
      </c>
      <c r="C66">
        <v>3</v>
      </c>
      <c r="D66" s="1">
        <v>0.23080000000000001</v>
      </c>
      <c r="E66">
        <v>23</v>
      </c>
      <c r="F66">
        <v>42</v>
      </c>
      <c r="G66" s="1">
        <v>2.2307999999999999</v>
      </c>
    </row>
    <row r="67" spans="1:7" x14ac:dyDescent="0.2">
      <c r="A67" s="6">
        <v>40451</v>
      </c>
      <c r="B67">
        <v>13</v>
      </c>
      <c r="C67">
        <v>-3</v>
      </c>
      <c r="D67" s="1">
        <v>-0.1875</v>
      </c>
      <c r="E67">
        <v>-19</v>
      </c>
      <c r="F67">
        <v>-25</v>
      </c>
      <c r="G67" s="1">
        <v>-3.8125</v>
      </c>
    </row>
    <row r="68" spans="1:7" x14ac:dyDescent="0.2">
      <c r="A68" s="6">
        <v>40359</v>
      </c>
      <c r="B68">
        <v>16</v>
      </c>
      <c r="C68">
        <v>1</v>
      </c>
      <c r="D68" s="1">
        <v>6.6699999999999995E-2</v>
      </c>
      <c r="E68">
        <v>7</v>
      </c>
      <c r="F68">
        <v>13</v>
      </c>
      <c r="G68" s="1">
        <v>2.0667</v>
      </c>
    </row>
    <row r="69" spans="1:7" x14ac:dyDescent="0.2">
      <c r="A69" s="6">
        <v>40268</v>
      </c>
      <c r="B69">
        <v>15</v>
      </c>
      <c r="C69">
        <v>-1</v>
      </c>
      <c r="D69" s="1">
        <v>-6.25E-2</v>
      </c>
      <c r="E69">
        <v>-6</v>
      </c>
      <c r="F69">
        <v>10</v>
      </c>
      <c r="G69" s="1">
        <v>0.60419999999999996</v>
      </c>
    </row>
    <row r="70" spans="1:7" x14ac:dyDescent="0.2">
      <c r="A70" s="6">
        <v>40178</v>
      </c>
      <c r="B70">
        <v>16</v>
      </c>
      <c r="C70">
        <v>-3</v>
      </c>
      <c r="D70" s="1">
        <v>-0.15790000000000001</v>
      </c>
      <c r="E70">
        <v>-16</v>
      </c>
      <c r="F70">
        <v>-42</v>
      </c>
      <c r="G70" s="1">
        <v>-1.5921000000000001</v>
      </c>
    </row>
    <row r="71" spans="1:7" x14ac:dyDescent="0.2">
      <c r="A71" s="6">
        <v>40086</v>
      </c>
      <c r="B71">
        <v>19</v>
      </c>
      <c r="C71">
        <v>4</v>
      </c>
      <c r="D71" s="1">
        <v>0.26669999999999999</v>
      </c>
      <c r="E71">
        <v>27</v>
      </c>
      <c r="F71">
        <v>-40</v>
      </c>
      <c r="G71" s="1">
        <v>-0.6</v>
      </c>
    </row>
    <row r="72" spans="1:7" x14ac:dyDescent="0.2">
      <c r="A72" s="6">
        <v>39994</v>
      </c>
      <c r="B72">
        <v>15</v>
      </c>
      <c r="C72">
        <v>6</v>
      </c>
      <c r="D72" s="1">
        <v>0.66669999999999996</v>
      </c>
      <c r="E72">
        <v>67</v>
      </c>
      <c r="F72">
        <v>67</v>
      </c>
      <c r="G72" t="s">
        <v>67</v>
      </c>
    </row>
    <row r="73" spans="1:7" x14ac:dyDescent="0.2">
      <c r="A73" s="6">
        <v>39903</v>
      </c>
      <c r="B73">
        <v>9</v>
      </c>
      <c r="C73">
        <v>0</v>
      </c>
      <c r="D73" s="1">
        <v>0</v>
      </c>
      <c r="E73">
        <v>0</v>
      </c>
      <c r="F73">
        <v>47</v>
      </c>
      <c r="G73" s="1">
        <v>1</v>
      </c>
    </row>
    <row r="74" spans="1:7" x14ac:dyDescent="0.2">
      <c r="A74" s="6">
        <v>39813</v>
      </c>
      <c r="B74">
        <v>9</v>
      </c>
      <c r="C74">
        <v>-8</v>
      </c>
      <c r="D74" s="1">
        <v>-0.47060000000000002</v>
      </c>
      <c r="E74">
        <v>-47</v>
      </c>
      <c r="F74">
        <v>-42</v>
      </c>
      <c r="G74" s="1">
        <v>-7.4706000000000001</v>
      </c>
    </row>
    <row r="75" spans="1:7" x14ac:dyDescent="0.2">
      <c r="A75" s="6">
        <v>39721</v>
      </c>
      <c r="B75">
        <v>17</v>
      </c>
      <c r="C75">
        <v>-1</v>
      </c>
      <c r="D75" s="1">
        <v>-5.5599999999999997E-2</v>
      </c>
      <c r="E75">
        <v>-6</v>
      </c>
      <c r="F75">
        <v>4</v>
      </c>
      <c r="G75" s="1">
        <v>0.44440000000000002</v>
      </c>
    </row>
    <row r="76" spans="1:7" x14ac:dyDescent="0.2">
      <c r="A76" s="6">
        <v>39629</v>
      </c>
      <c r="B76">
        <v>18</v>
      </c>
      <c r="C76">
        <v>-2</v>
      </c>
      <c r="D76" s="1">
        <v>-0.1</v>
      </c>
      <c r="E76">
        <v>-10</v>
      </c>
      <c r="F76">
        <v>-21</v>
      </c>
      <c r="G76" s="1">
        <v>-1.9</v>
      </c>
    </row>
    <row r="77" spans="1:7" x14ac:dyDescent="0.2">
      <c r="A77" s="6">
        <v>39538</v>
      </c>
      <c r="B77">
        <v>20</v>
      </c>
      <c r="C77">
        <v>2</v>
      </c>
      <c r="D77" s="1">
        <v>0.1111</v>
      </c>
      <c r="E77">
        <v>11</v>
      </c>
      <c r="F77">
        <v>21</v>
      </c>
      <c r="G77" s="1">
        <v>2.1111</v>
      </c>
    </row>
    <row r="78" spans="1:7" x14ac:dyDescent="0.2">
      <c r="A78" s="6">
        <v>39447</v>
      </c>
      <c r="B78">
        <v>18</v>
      </c>
      <c r="C78">
        <v>-2</v>
      </c>
      <c r="D78" s="1">
        <v>-0.1</v>
      </c>
      <c r="E78">
        <v>-10</v>
      </c>
      <c r="F78">
        <v>19</v>
      </c>
      <c r="G78" s="1">
        <v>0.65</v>
      </c>
    </row>
    <row r="79" spans="1:7" x14ac:dyDescent="0.2">
      <c r="A79" s="6">
        <v>39353</v>
      </c>
      <c r="B79">
        <v>20</v>
      </c>
      <c r="C79">
        <v>-8</v>
      </c>
      <c r="D79" s="1">
        <v>-0.28570000000000001</v>
      </c>
      <c r="E79">
        <v>-29</v>
      </c>
      <c r="F79">
        <v>-6</v>
      </c>
      <c r="G79" s="1">
        <v>-0.28570000000000001</v>
      </c>
    </row>
    <row r="80" spans="1:7" x14ac:dyDescent="0.2">
      <c r="A80" s="6">
        <v>39262</v>
      </c>
      <c r="B80">
        <v>28</v>
      </c>
      <c r="C80">
        <v>-8</v>
      </c>
      <c r="D80" s="1">
        <v>-0.22220000000000001</v>
      </c>
      <c r="E80">
        <v>-22</v>
      </c>
      <c r="F80">
        <v>-31</v>
      </c>
      <c r="G80" s="1">
        <v>-3.4443999999999999</v>
      </c>
    </row>
    <row r="81" spans="1:7" x14ac:dyDescent="0.2">
      <c r="A81" s="6">
        <v>39171</v>
      </c>
      <c r="B81">
        <v>36</v>
      </c>
      <c r="C81">
        <v>3</v>
      </c>
      <c r="D81" s="1">
        <v>9.0899999999999995E-2</v>
      </c>
      <c r="E81">
        <v>9</v>
      </c>
      <c r="F81">
        <v>-1</v>
      </c>
      <c r="G81" s="1">
        <v>-9.0899999999999995E-2</v>
      </c>
    </row>
    <row r="82" spans="1:7" x14ac:dyDescent="0.2">
      <c r="A82" s="6">
        <v>39080</v>
      </c>
      <c r="B82">
        <v>33</v>
      </c>
      <c r="C82">
        <v>3</v>
      </c>
      <c r="D82" s="1">
        <v>0.1</v>
      </c>
      <c r="E82">
        <v>10</v>
      </c>
      <c r="F82">
        <v>39</v>
      </c>
      <c r="G82" s="1">
        <v>1.35</v>
      </c>
    </row>
    <row r="83" spans="1:7" x14ac:dyDescent="0.2">
      <c r="A83" s="6">
        <v>38989</v>
      </c>
      <c r="B83">
        <v>30</v>
      </c>
      <c r="C83">
        <v>-12</v>
      </c>
      <c r="D83" s="1">
        <v>-0.28570000000000001</v>
      </c>
      <c r="E83">
        <v>-29</v>
      </c>
      <c r="F83">
        <v>-6</v>
      </c>
      <c r="G83" s="1">
        <v>-0.28570000000000001</v>
      </c>
    </row>
    <row r="84" spans="1:7" x14ac:dyDescent="0.2">
      <c r="A84" s="6">
        <v>38898</v>
      </c>
      <c r="B84">
        <v>42</v>
      </c>
      <c r="C84">
        <v>-12</v>
      </c>
      <c r="D84" s="1">
        <v>-0.22220000000000001</v>
      </c>
      <c r="E84">
        <v>-22</v>
      </c>
      <c r="F84">
        <v>-17</v>
      </c>
      <c r="G84" s="1">
        <v>-3.2222</v>
      </c>
    </row>
    <row r="85" spans="1:7" x14ac:dyDescent="0.2">
      <c r="A85" s="6">
        <v>38807</v>
      </c>
      <c r="B85">
        <v>54</v>
      </c>
      <c r="C85">
        <v>-3</v>
      </c>
      <c r="D85" s="1">
        <v>-5.2600000000000001E-2</v>
      </c>
      <c r="E85">
        <v>-5</v>
      </c>
      <c r="F85">
        <v>7</v>
      </c>
      <c r="G85" s="1">
        <v>0.57240000000000002</v>
      </c>
    </row>
    <row r="86" spans="1:7" x14ac:dyDescent="0.2">
      <c r="A86" s="6">
        <v>38716</v>
      </c>
      <c r="B86">
        <v>57</v>
      </c>
      <c r="C86">
        <v>-8</v>
      </c>
      <c r="D86" s="1">
        <v>-0.1231</v>
      </c>
      <c r="E86">
        <v>-12</v>
      </c>
      <c r="F86">
        <v>-3</v>
      </c>
      <c r="G86" s="1">
        <v>-0.26590000000000003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2706-52EA-4898-A1DC-CFFA9CCC3816}">
  <dimension ref="A1:G39"/>
  <sheetViews>
    <sheetView workbookViewId="0">
      <selection activeCell="L19" sqref="L19"/>
    </sheetView>
  </sheetViews>
  <sheetFormatPr baseColWidth="10" defaultColWidth="8.83203125" defaultRowHeight="15" x14ac:dyDescent="0.2"/>
  <cols>
    <col min="1" max="1" width="11.1640625" customWidth="1"/>
    <col min="2" max="2" width="16" bestFit="1" customWidth="1"/>
    <col min="3" max="7" width="9.1640625" bestFit="1" customWidth="1"/>
  </cols>
  <sheetData>
    <row r="1" spans="1:7" x14ac:dyDescent="0.2">
      <c r="A1" t="s">
        <v>0</v>
      </c>
      <c r="B1" t="s">
        <v>71</v>
      </c>
    </row>
    <row r="2" spans="1:7" x14ac:dyDescent="0.2">
      <c r="A2" t="s">
        <v>2</v>
      </c>
      <c r="B2" s="5">
        <v>29586</v>
      </c>
    </row>
    <row r="3" spans="1:7" x14ac:dyDescent="0.2">
      <c r="A3" t="s">
        <v>3</v>
      </c>
      <c r="B3" s="5">
        <v>44561</v>
      </c>
    </row>
    <row r="4" spans="1:7" x14ac:dyDescent="0.2">
      <c r="A4" t="s">
        <v>4</v>
      </c>
      <c r="B4" t="s">
        <v>19</v>
      </c>
    </row>
    <row r="6" spans="1:7" x14ac:dyDescent="0.2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8</v>
      </c>
      <c r="G6" t="s">
        <v>9</v>
      </c>
    </row>
    <row r="7" spans="1:7" x14ac:dyDescent="0.2">
      <c r="A7" s="6">
        <v>44561</v>
      </c>
      <c r="B7">
        <v>331893745</v>
      </c>
      <c r="C7">
        <v>5324437</v>
      </c>
      <c r="D7">
        <v>1.6304156176244218</v>
      </c>
      <c r="E7">
        <v>2</v>
      </c>
      <c r="F7">
        <v>3</v>
      </c>
      <c r="G7">
        <v>300</v>
      </c>
    </row>
    <row r="8" spans="1:7" x14ac:dyDescent="0.2">
      <c r="A8" s="6">
        <v>44196</v>
      </c>
      <c r="B8">
        <v>326569308</v>
      </c>
      <c r="C8">
        <v>-1670215</v>
      </c>
      <c r="D8">
        <v>-0.50884030805760094</v>
      </c>
      <c r="E8">
        <v>-1</v>
      </c>
      <c r="F8">
        <v>-1</v>
      </c>
      <c r="G8" t="e">
        <v>#DIV/0!</v>
      </c>
    </row>
    <row r="9" spans="1:7" x14ac:dyDescent="0.2">
      <c r="A9" s="6">
        <v>43830</v>
      </c>
      <c r="B9">
        <v>328239523</v>
      </c>
      <c r="C9">
        <v>1072084</v>
      </c>
      <c r="D9">
        <v>0.32768664365771438</v>
      </c>
      <c r="E9">
        <v>0</v>
      </c>
      <c r="F9">
        <v>0</v>
      </c>
      <c r="G9" t="e">
        <v>#DIV/0!</v>
      </c>
    </row>
    <row r="10" spans="1:7" x14ac:dyDescent="0.2">
      <c r="A10" s="6">
        <v>43465</v>
      </c>
      <c r="B10">
        <v>327167439</v>
      </c>
      <c r="C10">
        <v>1448261</v>
      </c>
      <c r="D10">
        <v>0.44463485659416713</v>
      </c>
      <c r="E10">
        <v>0</v>
      </c>
      <c r="F10">
        <v>-1</v>
      </c>
      <c r="G10">
        <v>-100</v>
      </c>
    </row>
    <row r="11" spans="1:7" x14ac:dyDescent="0.2">
      <c r="A11" s="6">
        <v>43098</v>
      </c>
      <c r="B11">
        <v>325719178</v>
      </c>
      <c r="C11">
        <v>2591663</v>
      </c>
      <c r="D11">
        <v>0.8020558075965768</v>
      </c>
      <c r="E11">
        <v>1</v>
      </c>
      <c r="F11">
        <v>0</v>
      </c>
      <c r="G11">
        <v>0</v>
      </c>
    </row>
    <row r="12" spans="1:7" x14ac:dyDescent="0.2">
      <c r="A12" s="6">
        <v>42734</v>
      </c>
      <c r="B12">
        <v>323127515</v>
      </c>
      <c r="C12">
        <v>1708694</v>
      </c>
      <c r="D12">
        <v>0.53160981509542649</v>
      </c>
      <c r="E12">
        <v>1</v>
      </c>
      <c r="F12">
        <v>0</v>
      </c>
      <c r="G12">
        <v>0</v>
      </c>
    </row>
    <row r="13" spans="1:7" x14ac:dyDescent="0.2">
      <c r="A13" s="6">
        <v>42369</v>
      </c>
      <c r="B13">
        <v>321418821</v>
      </c>
      <c r="C13">
        <v>2561765</v>
      </c>
      <c r="D13">
        <v>0.80342114179213897</v>
      </c>
      <c r="E13">
        <v>1</v>
      </c>
      <c r="F13">
        <v>0</v>
      </c>
      <c r="G13">
        <v>0</v>
      </c>
    </row>
    <row r="14" spans="1:7" x14ac:dyDescent="0.2">
      <c r="A14" s="6">
        <v>42004</v>
      </c>
      <c r="B14">
        <v>318857056</v>
      </c>
      <c r="C14">
        <v>2728217</v>
      </c>
      <c r="D14">
        <v>0.86300794594700048</v>
      </c>
      <c r="E14">
        <v>1</v>
      </c>
      <c r="F14">
        <v>0</v>
      </c>
      <c r="G14">
        <v>0</v>
      </c>
    </row>
    <row r="15" spans="1:7" x14ac:dyDescent="0.2">
      <c r="A15" s="6">
        <v>41639</v>
      </c>
      <c r="B15">
        <v>316128839</v>
      </c>
      <c r="C15">
        <v>2214799</v>
      </c>
      <c r="D15">
        <v>0.70554314805416163</v>
      </c>
      <c r="E15">
        <v>1</v>
      </c>
      <c r="F15">
        <v>0</v>
      </c>
      <c r="G15">
        <v>0</v>
      </c>
    </row>
    <row r="16" spans="1:7" x14ac:dyDescent="0.2">
      <c r="A16" s="6">
        <v>41274</v>
      </c>
      <c r="B16">
        <v>313914040</v>
      </c>
      <c r="C16">
        <v>2322121</v>
      </c>
      <c r="D16">
        <v>0.74524429499084666</v>
      </c>
      <c r="E16">
        <v>1</v>
      </c>
      <c r="F16">
        <v>0</v>
      </c>
      <c r="G16">
        <v>0</v>
      </c>
    </row>
    <row r="17" spans="1:7" x14ac:dyDescent="0.2">
      <c r="A17" s="6">
        <v>40907</v>
      </c>
      <c r="B17">
        <v>311591919</v>
      </c>
      <c r="C17">
        <v>2242230</v>
      </c>
      <c r="D17">
        <v>0.72482051210337572</v>
      </c>
      <c r="E17">
        <v>1</v>
      </c>
      <c r="F17">
        <v>0</v>
      </c>
      <c r="G17">
        <v>0</v>
      </c>
    </row>
    <row r="18" spans="1:7" x14ac:dyDescent="0.2">
      <c r="A18" s="6">
        <v>40543</v>
      </c>
      <c r="B18">
        <v>309349689</v>
      </c>
      <c r="C18">
        <v>2343139</v>
      </c>
      <c r="D18">
        <v>0.76322117557426705</v>
      </c>
      <c r="E18">
        <v>1</v>
      </c>
      <c r="F18">
        <v>0</v>
      </c>
      <c r="G18">
        <v>0</v>
      </c>
    </row>
    <row r="19" spans="1:7" x14ac:dyDescent="0.2">
      <c r="A19" s="6">
        <v>40178</v>
      </c>
      <c r="B19">
        <v>307006550</v>
      </c>
      <c r="C19">
        <v>2946826</v>
      </c>
      <c r="D19">
        <v>0.96916025616072721</v>
      </c>
      <c r="E19">
        <v>1</v>
      </c>
      <c r="F19">
        <v>0</v>
      </c>
      <c r="G19">
        <v>0</v>
      </c>
    </row>
    <row r="20" spans="1:7" x14ac:dyDescent="0.2">
      <c r="A20" s="6">
        <v>39813</v>
      </c>
      <c r="B20">
        <v>304059724</v>
      </c>
      <c r="C20">
        <v>2438567</v>
      </c>
      <c r="D20">
        <v>0.8084867203131908</v>
      </c>
      <c r="E20">
        <v>1</v>
      </c>
      <c r="F20">
        <v>0</v>
      </c>
      <c r="G20">
        <v>0</v>
      </c>
    </row>
    <row r="21" spans="1:7" x14ac:dyDescent="0.2">
      <c r="A21" s="6">
        <v>39447</v>
      </c>
      <c r="B21">
        <v>301621157</v>
      </c>
      <c r="C21">
        <v>2222673</v>
      </c>
      <c r="D21">
        <v>0.74237951051215079</v>
      </c>
      <c r="E21">
        <v>1</v>
      </c>
      <c r="F21">
        <v>0</v>
      </c>
      <c r="G21">
        <v>0</v>
      </c>
    </row>
    <row r="22" spans="1:7" x14ac:dyDescent="0.2">
      <c r="A22" s="6">
        <v>39080</v>
      </c>
      <c r="B22">
        <v>299398484</v>
      </c>
      <c r="C22">
        <v>2891423</v>
      </c>
      <c r="D22">
        <v>0.97516159994584417</v>
      </c>
      <c r="E22">
        <v>1</v>
      </c>
      <c r="F22">
        <v>0</v>
      </c>
      <c r="G22">
        <v>0</v>
      </c>
    </row>
    <row r="23" spans="1:7" x14ac:dyDescent="0.2">
      <c r="A23" s="6">
        <v>38716</v>
      </c>
      <c r="B23">
        <v>296507061</v>
      </c>
      <c r="C23">
        <v>2868903</v>
      </c>
      <c r="D23">
        <v>0.97701981906588586</v>
      </c>
      <c r="E23">
        <v>1</v>
      </c>
      <c r="F23">
        <v>0</v>
      </c>
      <c r="G23">
        <v>0</v>
      </c>
    </row>
    <row r="24" spans="1:7" x14ac:dyDescent="0.2">
      <c r="A24" s="6">
        <v>38352</v>
      </c>
      <c r="B24">
        <v>293638158</v>
      </c>
      <c r="C24">
        <v>2842135</v>
      </c>
      <c r="D24">
        <v>0.97736377914631933</v>
      </c>
      <c r="E24">
        <v>1</v>
      </c>
      <c r="F24">
        <v>0</v>
      </c>
      <c r="G24">
        <v>0</v>
      </c>
    </row>
    <row r="25" spans="1:7" x14ac:dyDescent="0.2">
      <c r="A25" s="6">
        <v>37986</v>
      </c>
      <c r="B25">
        <v>290796023</v>
      </c>
      <c r="C25">
        <v>2670050</v>
      </c>
      <c r="D25">
        <v>0.92669535210558751</v>
      </c>
      <c r="E25">
        <v>1</v>
      </c>
      <c r="F25">
        <v>0</v>
      </c>
      <c r="G25">
        <v>0</v>
      </c>
    </row>
    <row r="26" spans="1:7" x14ac:dyDescent="0.2">
      <c r="A26" s="6">
        <v>37621</v>
      </c>
      <c r="B26">
        <v>288125973</v>
      </c>
      <c r="C26">
        <v>2899689</v>
      </c>
      <c r="D26">
        <v>1.0166275559653541</v>
      </c>
      <c r="E26">
        <v>1</v>
      </c>
      <c r="F26">
        <v>0</v>
      </c>
      <c r="G26">
        <v>0</v>
      </c>
    </row>
    <row r="27" spans="1:7" x14ac:dyDescent="0.2">
      <c r="A27" s="6">
        <v>37256</v>
      </c>
      <c r="B27">
        <v>285226284</v>
      </c>
      <c r="C27">
        <v>3804378</v>
      </c>
      <c r="D27">
        <v>1.3518414589943115</v>
      </c>
      <c r="E27">
        <v>1</v>
      </c>
      <c r="F27">
        <v>0</v>
      </c>
      <c r="G27">
        <v>0</v>
      </c>
    </row>
    <row r="28" spans="1:7" x14ac:dyDescent="0.2">
      <c r="A28" s="6">
        <v>36889</v>
      </c>
      <c r="B28">
        <v>281421906</v>
      </c>
      <c r="C28">
        <v>2381738</v>
      </c>
      <c r="D28">
        <v>0.85354664780735079</v>
      </c>
      <c r="E28">
        <v>1</v>
      </c>
      <c r="F28">
        <v>0</v>
      </c>
      <c r="G28">
        <v>0</v>
      </c>
    </row>
    <row r="29" spans="1:7" x14ac:dyDescent="0.2">
      <c r="A29" s="6">
        <v>36525</v>
      </c>
      <c r="B29">
        <v>279040168</v>
      </c>
      <c r="C29">
        <v>3186064</v>
      </c>
      <c r="D29">
        <v>1.1549815477822292</v>
      </c>
      <c r="E29">
        <v>1</v>
      </c>
      <c r="F29">
        <v>0</v>
      </c>
      <c r="G29">
        <v>0</v>
      </c>
    </row>
    <row r="30" spans="1:7" x14ac:dyDescent="0.2">
      <c r="A30" s="6">
        <v>36160</v>
      </c>
      <c r="B30">
        <v>275854104</v>
      </c>
      <c r="C30">
        <v>3207179</v>
      </c>
      <c r="D30">
        <v>1.1763121847055491</v>
      </c>
      <c r="E30">
        <v>1</v>
      </c>
      <c r="F30">
        <v>0</v>
      </c>
      <c r="G30">
        <v>0</v>
      </c>
    </row>
    <row r="31" spans="1:7" x14ac:dyDescent="0.2">
      <c r="A31" s="6">
        <v>35795</v>
      </c>
      <c r="B31">
        <v>272646925</v>
      </c>
      <c r="C31">
        <v>3252640</v>
      </c>
      <c r="D31">
        <v>1.2073901270771203</v>
      </c>
      <c r="E31">
        <v>1</v>
      </c>
      <c r="F31">
        <v>0</v>
      </c>
      <c r="G31">
        <v>0</v>
      </c>
    </row>
    <row r="32" spans="1:7" x14ac:dyDescent="0.2">
      <c r="A32" s="6">
        <v>35430</v>
      </c>
      <c r="B32">
        <v>269394285</v>
      </c>
      <c r="C32">
        <v>3115892</v>
      </c>
      <c r="D32">
        <v>1.170163288464791</v>
      </c>
      <c r="E32">
        <v>1</v>
      </c>
      <c r="F32">
        <v>0</v>
      </c>
      <c r="G32">
        <v>0</v>
      </c>
    </row>
    <row r="33" spans="1:7" x14ac:dyDescent="0.2">
      <c r="A33" s="6">
        <v>35062</v>
      </c>
      <c r="B33">
        <v>266278393</v>
      </c>
      <c r="C33">
        <v>3152572</v>
      </c>
      <c r="D33">
        <v>1.1981233875180954</v>
      </c>
      <c r="E33">
        <v>1</v>
      </c>
      <c r="F33">
        <v>0</v>
      </c>
      <c r="G33">
        <v>0</v>
      </c>
    </row>
    <row r="34" spans="1:7" x14ac:dyDescent="0.2">
      <c r="A34" s="6">
        <v>34698</v>
      </c>
      <c r="B34">
        <v>263125821</v>
      </c>
      <c r="C34">
        <v>3207233</v>
      </c>
      <c r="D34">
        <v>1.2339375281617027</v>
      </c>
      <c r="E34">
        <v>1</v>
      </c>
      <c r="F34">
        <v>0</v>
      </c>
      <c r="G34">
        <v>0</v>
      </c>
    </row>
    <row r="35" spans="1:7" x14ac:dyDescent="0.2">
      <c r="A35" s="6">
        <v>34334</v>
      </c>
      <c r="B35">
        <v>259918588</v>
      </c>
      <c r="C35">
        <v>3404364</v>
      </c>
      <c r="D35">
        <v>1.3271638301040178</v>
      </c>
      <c r="E35">
        <v>1</v>
      </c>
      <c r="F35">
        <v>0</v>
      </c>
      <c r="G35">
        <v>0</v>
      </c>
    </row>
    <row r="36" spans="1:7" x14ac:dyDescent="0.2">
      <c r="A36" s="6">
        <v>33969</v>
      </c>
      <c r="B36">
        <v>256514224</v>
      </c>
      <c r="C36">
        <v>3533283</v>
      </c>
      <c r="D36">
        <v>1.3966597586495657</v>
      </c>
      <c r="E36">
        <v>1</v>
      </c>
      <c r="F36">
        <v>-1</v>
      </c>
      <c r="G36">
        <v>-50</v>
      </c>
    </row>
    <row r="37" spans="1:7" x14ac:dyDescent="0.2">
      <c r="A37" s="6">
        <v>33603</v>
      </c>
      <c r="B37">
        <v>252980941</v>
      </c>
      <c r="C37">
        <v>4271068</v>
      </c>
      <c r="D37">
        <v>1.717289285094042</v>
      </c>
      <c r="E37">
        <v>2</v>
      </c>
      <c r="F37">
        <v>-8</v>
      </c>
      <c r="G37">
        <v>-80</v>
      </c>
    </row>
    <row r="38" spans="1:7" x14ac:dyDescent="0.2">
      <c r="A38" s="6">
        <v>33238</v>
      </c>
      <c r="B38">
        <v>248709873</v>
      </c>
      <c r="C38">
        <v>22164068</v>
      </c>
      <c r="D38">
        <v>9.783481976194615</v>
      </c>
      <c r="E38">
        <v>10</v>
      </c>
      <c r="F38">
        <v>-1</v>
      </c>
      <c r="G38">
        <v>-9.0909090909090917</v>
      </c>
    </row>
    <row r="39" spans="1:7" x14ac:dyDescent="0.2">
      <c r="A39" s="6">
        <v>29586</v>
      </c>
      <c r="B39">
        <v>226545805</v>
      </c>
      <c r="E39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FC84-1FF5-824A-B2B8-BA5C868D4E5F}">
  <dimension ref="A1:E85"/>
  <sheetViews>
    <sheetView topLeftCell="A37" workbookViewId="0">
      <selection activeCell="G22" sqref="G22"/>
    </sheetView>
  </sheetViews>
  <sheetFormatPr baseColWidth="10" defaultColWidth="8.83203125" defaultRowHeight="15" x14ac:dyDescent="0.2"/>
  <cols>
    <col min="1" max="1" width="16" bestFit="1" customWidth="1"/>
    <col min="2" max="2" width="17.33203125" bestFit="1" customWidth="1"/>
  </cols>
  <sheetData>
    <row r="1" spans="1:5" x14ac:dyDescent="0.2">
      <c r="A1" t="s">
        <v>78</v>
      </c>
    </row>
    <row r="2" spans="1:5" x14ac:dyDescent="0.2">
      <c r="A2" t="s">
        <v>79</v>
      </c>
    </row>
    <row r="3" spans="1:5" x14ac:dyDescent="0.2">
      <c r="A3" t="s">
        <v>80</v>
      </c>
    </row>
    <row r="4" spans="1:5" x14ac:dyDescent="0.2">
      <c r="A4" t="s">
        <v>81</v>
      </c>
      <c r="E4" t="s">
        <v>82</v>
      </c>
    </row>
    <row r="6" spans="1:5" x14ac:dyDescent="0.2">
      <c r="A6" s="7" t="s">
        <v>77</v>
      </c>
      <c r="B6" s="7" t="s">
        <v>76</v>
      </c>
    </row>
    <row r="7" spans="1:5" x14ac:dyDescent="0.2">
      <c r="A7" s="6">
        <v>45748</v>
      </c>
      <c r="B7">
        <v>342034</v>
      </c>
    </row>
    <row r="8" spans="1:5" x14ac:dyDescent="0.2">
      <c r="A8" s="6">
        <v>45658</v>
      </c>
      <c r="B8">
        <v>341590</v>
      </c>
    </row>
    <row r="9" spans="1:5" x14ac:dyDescent="0.2">
      <c r="A9" s="6">
        <v>45566</v>
      </c>
      <c r="B9">
        <v>341164</v>
      </c>
    </row>
    <row r="10" spans="1:5" x14ac:dyDescent="0.2">
      <c r="A10" s="6">
        <v>45474</v>
      </c>
      <c r="B10">
        <v>340637</v>
      </c>
    </row>
    <row r="11" spans="1:5" x14ac:dyDescent="0.2">
      <c r="A11" s="6">
        <v>45383</v>
      </c>
      <c r="B11">
        <v>339929</v>
      </c>
    </row>
    <row r="12" spans="1:5" x14ac:dyDescent="0.2">
      <c r="A12" s="6">
        <v>45292</v>
      </c>
      <c r="B12">
        <v>339119</v>
      </c>
    </row>
    <row r="13" spans="1:5" x14ac:dyDescent="0.2">
      <c r="A13" s="6">
        <v>45200</v>
      </c>
      <c r="B13">
        <v>338360</v>
      </c>
    </row>
    <row r="14" spans="1:5" x14ac:dyDescent="0.2">
      <c r="A14" s="6">
        <v>45108</v>
      </c>
      <c r="B14">
        <v>337500</v>
      </c>
    </row>
    <row r="15" spans="1:5" x14ac:dyDescent="0.2">
      <c r="A15" s="6">
        <v>45017</v>
      </c>
      <c r="B15">
        <v>336685</v>
      </c>
    </row>
    <row r="16" spans="1:5" x14ac:dyDescent="0.2">
      <c r="A16" s="6">
        <v>44927</v>
      </c>
      <c r="B16">
        <v>336018</v>
      </c>
    </row>
    <row r="17" spans="1:2" x14ac:dyDescent="0.2">
      <c r="A17" s="6">
        <v>44835</v>
      </c>
      <c r="B17">
        <v>335382</v>
      </c>
    </row>
    <row r="18" spans="1:2" x14ac:dyDescent="0.2">
      <c r="A18" s="6">
        <v>44743</v>
      </c>
      <c r="B18">
        <v>334653</v>
      </c>
    </row>
    <row r="19" spans="1:2" x14ac:dyDescent="0.2">
      <c r="A19" s="6">
        <v>44652</v>
      </c>
      <c r="B19">
        <v>333979</v>
      </c>
    </row>
    <row r="20" spans="1:2" x14ac:dyDescent="0.2">
      <c r="A20" s="6">
        <v>44562</v>
      </c>
      <c r="B20">
        <v>333476</v>
      </c>
    </row>
    <row r="21" spans="1:2" x14ac:dyDescent="0.2">
      <c r="A21" s="6">
        <v>44470</v>
      </c>
      <c r="B21">
        <v>333113</v>
      </c>
    </row>
    <row r="22" spans="1:2" x14ac:dyDescent="0.2">
      <c r="A22" s="6">
        <v>44378</v>
      </c>
      <c r="B22">
        <v>332634</v>
      </c>
    </row>
    <row r="23" spans="1:2" x14ac:dyDescent="0.2">
      <c r="A23" s="6">
        <v>44287</v>
      </c>
      <c r="B23">
        <v>332217</v>
      </c>
    </row>
    <row r="24" spans="1:2" x14ac:dyDescent="0.2">
      <c r="A24" s="6">
        <v>44197</v>
      </c>
      <c r="B24">
        <v>332056</v>
      </c>
    </row>
    <row r="25" spans="1:2" x14ac:dyDescent="0.2">
      <c r="A25" s="6">
        <v>44105</v>
      </c>
      <c r="B25">
        <v>332111</v>
      </c>
    </row>
    <row r="26" spans="1:2" x14ac:dyDescent="0.2">
      <c r="A26" s="6">
        <v>44013</v>
      </c>
      <c r="B26">
        <v>331938</v>
      </c>
    </row>
    <row r="27" spans="1:2" x14ac:dyDescent="0.2">
      <c r="A27" s="6">
        <v>43922</v>
      </c>
      <c r="B27">
        <v>331765</v>
      </c>
    </row>
    <row r="28" spans="1:2" x14ac:dyDescent="0.2">
      <c r="A28" s="6">
        <v>43831</v>
      </c>
      <c r="B28">
        <v>331545</v>
      </c>
    </row>
    <row r="29" spans="1:2" x14ac:dyDescent="0.2">
      <c r="A29" s="6">
        <v>43739</v>
      </c>
      <c r="B29">
        <v>331208</v>
      </c>
    </row>
    <row r="30" spans="1:2" x14ac:dyDescent="0.2">
      <c r="A30" s="6">
        <v>43647</v>
      </c>
      <c r="B30">
        <v>330729</v>
      </c>
    </row>
    <row r="31" spans="1:2" x14ac:dyDescent="0.2">
      <c r="A31" s="6">
        <v>43556</v>
      </c>
      <c r="B31">
        <v>330245</v>
      </c>
    </row>
    <row r="32" spans="1:2" x14ac:dyDescent="0.2">
      <c r="A32" s="6">
        <v>43466</v>
      </c>
      <c r="B32">
        <v>329868</v>
      </c>
    </row>
    <row r="33" spans="1:2" x14ac:dyDescent="0.2">
      <c r="A33" s="6">
        <v>43374</v>
      </c>
      <c r="B33">
        <v>329522</v>
      </c>
    </row>
    <row r="34" spans="1:2" x14ac:dyDescent="0.2">
      <c r="A34" s="6">
        <v>43282</v>
      </c>
      <c r="B34">
        <v>329040</v>
      </c>
    </row>
    <row r="35" spans="1:2" x14ac:dyDescent="0.2">
      <c r="A35" s="6">
        <v>43191</v>
      </c>
      <c r="B35">
        <v>328526</v>
      </c>
    </row>
    <row r="36" spans="1:2" x14ac:dyDescent="0.2">
      <c r="A36" s="6">
        <v>43101</v>
      </c>
      <c r="B36">
        <v>328091</v>
      </c>
    </row>
    <row r="37" spans="1:2" x14ac:dyDescent="0.2">
      <c r="A37" s="6">
        <v>43009</v>
      </c>
      <c r="B37">
        <v>327692</v>
      </c>
    </row>
    <row r="38" spans="1:2" x14ac:dyDescent="0.2">
      <c r="A38" s="6">
        <v>42917</v>
      </c>
      <c r="B38">
        <v>327140</v>
      </c>
    </row>
    <row r="39" spans="1:2" x14ac:dyDescent="0.2">
      <c r="A39" s="6">
        <v>42826</v>
      </c>
      <c r="B39">
        <v>326554</v>
      </c>
    </row>
    <row r="40" spans="1:2" x14ac:dyDescent="0.2">
      <c r="A40" s="6">
        <v>42736</v>
      </c>
      <c r="B40">
        <v>326053</v>
      </c>
    </row>
    <row r="41" spans="1:2" x14ac:dyDescent="0.2">
      <c r="A41" s="6">
        <v>42644</v>
      </c>
      <c r="B41">
        <v>325557</v>
      </c>
    </row>
    <row r="42" spans="1:2" x14ac:dyDescent="0.2">
      <c r="A42" s="6">
        <v>42552</v>
      </c>
      <c r="B42">
        <v>324926</v>
      </c>
    </row>
    <row r="43" spans="1:2" x14ac:dyDescent="0.2">
      <c r="A43" s="6">
        <v>42461</v>
      </c>
      <c r="B43">
        <v>324265</v>
      </c>
    </row>
    <row r="44" spans="1:2" x14ac:dyDescent="0.2">
      <c r="A44" s="6">
        <v>42370</v>
      </c>
      <c r="B44">
        <v>323689</v>
      </c>
    </row>
    <row r="45" spans="1:2" x14ac:dyDescent="0.2">
      <c r="A45" s="6">
        <v>42278</v>
      </c>
      <c r="B45">
        <v>323110</v>
      </c>
    </row>
    <row r="46" spans="1:2" x14ac:dyDescent="0.2">
      <c r="A46" s="6">
        <v>42186</v>
      </c>
      <c r="B46">
        <v>322428</v>
      </c>
    </row>
    <row r="47" spans="1:2" x14ac:dyDescent="0.2">
      <c r="A47" s="6">
        <v>42095</v>
      </c>
      <c r="B47">
        <v>321744</v>
      </c>
    </row>
    <row r="48" spans="1:2" x14ac:dyDescent="0.2">
      <c r="A48" s="6">
        <v>42005</v>
      </c>
      <c r="B48">
        <v>321168</v>
      </c>
    </row>
    <row r="49" spans="1:2" x14ac:dyDescent="0.2">
      <c r="A49" s="6">
        <v>41913</v>
      </c>
      <c r="B49">
        <v>320611</v>
      </c>
    </row>
    <row r="50" spans="1:2" x14ac:dyDescent="0.2">
      <c r="A50" s="6">
        <v>41821</v>
      </c>
      <c r="B50">
        <v>319919</v>
      </c>
    </row>
    <row r="51" spans="1:2" x14ac:dyDescent="0.2">
      <c r="A51" s="6">
        <v>41730</v>
      </c>
      <c r="B51">
        <v>319228</v>
      </c>
    </row>
    <row r="52" spans="1:2" x14ac:dyDescent="0.2">
      <c r="A52" s="6">
        <v>41640</v>
      </c>
      <c r="B52">
        <v>318645</v>
      </c>
    </row>
    <row r="53" spans="1:2" x14ac:dyDescent="0.2">
      <c r="A53" s="6">
        <v>41548</v>
      </c>
      <c r="B53">
        <v>318072</v>
      </c>
    </row>
    <row r="54" spans="1:2" x14ac:dyDescent="0.2">
      <c r="A54" s="6">
        <v>41456</v>
      </c>
      <c r="B54">
        <v>317396</v>
      </c>
    </row>
    <row r="55" spans="1:2" x14ac:dyDescent="0.2">
      <c r="A55" s="6">
        <v>41365</v>
      </c>
      <c r="B55">
        <v>316733</v>
      </c>
    </row>
    <row r="56" spans="1:2" x14ac:dyDescent="0.2">
      <c r="A56" s="6">
        <v>41275</v>
      </c>
      <c r="B56">
        <v>316196</v>
      </c>
    </row>
    <row r="57" spans="1:2" x14ac:dyDescent="0.2">
      <c r="A57" s="6">
        <v>41183</v>
      </c>
      <c r="B57">
        <v>315685</v>
      </c>
    </row>
    <row r="58" spans="1:2" x14ac:dyDescent="0.2">
      <c r="A58" s="6">
        <v>41091</v>
      </c>
      <c r="B58">
        <v>315030</v>
      </c>
    </row>
    <row r="59" spans="1:2" x14ac:dyDescent="0.2">
      <c r="A59" s="6">
        <v>41000</v>
      </c>
      <c r="B59">
        <v>314373</v>
      </c>
    </row>
    <row r="60" spans="1:2" x14ac:dyDescent="0.2">
      <c r="A60" s="6">
        <v>40909</v>
      </c>
      <c r="B60">
        <v>313813</v>
      </c>
    </row>
    <row r="61" spans="1:2" x14ac:dyDescent="0.2">
      <c r="A61" s="6">
        <v>40817</v>
      </c>
      <c r="B61">
        <v>313258</v>
      </c>
    </row>
    <row r="62" spans="1:2" x14ac:dyDescent="0.2">
      <c r="A62" s="6">
        <v>40725</v>
      </c>
      <c r="B62">
        <v>312606</v>
      </c>
    </row>
    <row r="63" spans="1:2" x14ac:dyDescent="0.2">
      <c r="A63" s="6">
        <v>40634</v>
      </c>
      <c r="B63">
        <v>311940</v>
      </c>
    </row>
    <row r="64" spans="1:2" x14ac:dyDescent="0.2">
      <c r="A64" s="6">
        <v>40544</v>
      </c>
      <c r="B64">
        <v>311376</v>
      </c>
    </row>
    <row r="65" spans="1:2" x14ac:dyDescent="0.2">
      <c r="A65" s="6">
        <v>40452</v>
      </c>
      <c r="B65">
        <v>310817</v>
      </c>
    </row>
    <row r="66" spans="1:2" x14ac:dyDescent="0.2">
      <c r="A66" s="6">
        <v>40360</v>
      </c>
      <c r="B66">
        <v>310148</v>
      </c>
    </row>
    <row r="67" spans="1:2" x14ac:dyDescent="0.2">
      <c r="A67" s="6">
        <v>40269</v>
      </c>
      <c r="B67">
        <v>309488</v>
      </c>
    </row>
    <row r="68" spans="1:2" x14ac:dyDescent="0.2">
      <c r="A68" s="6">
        <v>40179</v>
      </c>
      <c r="B68">
        <v>308901</v>
      </c>
    </row>
    <row r="69" spans="1:2" x14ac:dyDescent="0.2">
      <c r="A69" s="6">
        <v>40087</v>
      </c>
      <c r="B69">
        <v>308285</v>
      </c>
    </row>
    <row r="70" spans="1:2" x14ac:dyDescent="0.2">
      <c r="A70" s="6">
        <v>39995</v>
      </c>
      <c r="B70">
        <v>307573</v>
      </c>
    </row>
    <row r="71" spans="1:2" x14ac:dyDescent="0.2">
      <c r="A71" s="6">
        <v>39904</v>
      </c>
      <c r="B71">
        <v>306866</v>
      </c>
    </row>
    <row r="72" spans="1:2" x14ac:dyDescent="0.2">
      <c r="A72" s="6">
        <v>39814</v>
      </c>
      <c r="B72">
        <v>306237</v>
      </c>
    </row>
    <row r="73" spans="1:2" x14ac:dyDescent="0.2">
      <c r="A73" s="6">
        <v>39722</v>
      </c>
      <c r="B73">
        <v>305616</v>
      </c>
    </row>
    <row r="74" spans="1:2" x14ac:dyDescent="0.2">
      <c r="A74" s="6">
        <v>39630</v>
      </c>
      <c r="B74">
        <v>304902</v>
      </c>
    </row>
    <row r="75" spans="1:2" x14ac:dyDescent="0.2">
      <c r="A75" s="6">
        <v>39539</v>
      </c>
      <c r="B75">
        <v>304160</v>
      </c>
    </row>
    <row r="76" spans="1:2" x14ac:dyDescent="0.2">
      <c r="A76" s="6">
        <v>39448</v>
      </c>
      <c r="B76">
        <v>303494</v>
      </c>
    </row>
    <row r="77" spans="1:2" x14ac:dyDescent="0.2">
      <c r="A77" s="6">
        <v>39356</v>
      </c>
      <c r="B77">
        <v>302829</v>
      </c>
    </row>
    <row r="78" spans="1:2" x14ac:dyDescent="0.2">
      <c r="A78" s="6">
        <v>39264</v>
      </c>
      <c r="B78">
        <v>302062</v>
      </c>
    </row>
    <row r="79" spans="1:2" x14ac:dyDescent="0.2">
      <c r="A79" s="6">
        <v>39173</v>
      </c>
      <c r="B79">
        <v>301284</v>
      </c>
    </row>
    <row r="80" spans="1:2" x14ac:dyDescent="0.2">
      <c r="A80" s="6">
        <v>39083</v>
      </c>
      <c r="B80">
        <v>300609</v>
      </c>
    </row>
    <row r="81" spans="1:2" x14ac:dyDescent="0.2">
      <c r="A81" s="6">
        <v>38991</v>
      </c>
      <c r="B81">
        <v>299946</v>
      </c>
    </row>
    <row r="82" spans="1:2" x14ac:dyDescent="0.2">
      <c r="A82" s="6">
        <v>38899</v>
      </c>
      <c r="B82">
        <v>299180</v>
      </c>
    </row>
    <row r="83" spans="1:2" x14ac:dyDescent="0.2">
      <c r="A83" s="6">
        <v>38808</v>
      </c>
      <c r="B83">
        <v>298408</v>
      </c>
    </row>
    <row r="84" spans="1:2" x14ac:dyDescent="0.2">
      <c r="A84" s="6">
        <v>38718</v>
      </c>
      <c r="B84">
        <v>297736</v>
      </c>
    </row>
    <row r="85" spans="1:2" x14ac:dyDescent="0.2">
      <c r="A85" s="6">
        <v>38626</v>
      </c>
      <c r="B85">
        <v>297086</v>
      </c>
    </row>
  </sheetData>
  <sortState xmlns:xlrd2="http://schemas.microsoft.com/office/spreadsheetml/2017/richdata2" ref="A7:B85">
    <sortCondition descending="1" ref="A7:A85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C9D4-7B99-4D0B-BC40-DDED0B66EFB9}">
  <dimension ref="A1:B82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2" customWidth="1"/>
    <col min="2" max="2" width="28.83203125" customWidth="1"/>
  </cols>
  <sheetData>
    <row r="1" spans="1:2" x14ac:dyDescent="0.2">
      <c r="A1" t="s">
        <v>0</v>
      </c>
      <c r="B1" t="s">
        <v>69</v>
      </c>
    </row>
    <row r="2" spans="1:2" x14ac:dyDescent="0.2">
      <c r="A2" t="s">
        <v>2</v>
      </c>
      <c r="B2" s="5">
        <v>38716</v>
      </c>
    </row>
    <row r="3" spans="1:2" x14ac:dyDescent="0.2">
      <c r="A3" t="s">
        <v>3</v>
      </c>
      <c r="B3" s="5">
        <v>45657</v>
      </c>
    </row>
    <row r="4" spans="1:2" x14ac:dyDescent="0.2">
      <c r="A4" t="s">
        <v>4</v>
      </c>
      <c r="B4" t="s">
        <v>19</v>
      </c>
    </row>
    <row r="6" spans="1:2" x14ac:dyDescent="0.2">
      <c r="A6" t="s">
        <v>6</v>
      </c>
      <c r="B6" t="s">
        <v>70</v>
      </c>
    </row>
    <row r="7" spans="1:2" x14ac:dyDescent="0.2">
      <c r="A7" s="6">
        <v>45657</v>
      </c>
      <c r="B7" s="2">
        <v>0.19942739456012615</v>
      </c>
    </row>
    <row r="8" spans="1:2" x14ac:dyDescent="0.2">
      <c r="A8" s="6">
        <v>45565</v>
      </c>
      <c r="B8" s="2">
        <v>0.19942739456012615</v>
      </c>
    </row>
    <row r="9" spans="1:2" x14ac:dyDescent="0.2">
      <c r="A9" s="6">
        <v>45471</v>
      </c>
      <c r="B9" s="2">
        <v>0.19942739456012615</v>
      </c>
    </row>
    <row r="10" spans="1:2" x14ac:dyDescent="0.2">
      <c r="A10" s="6">
        <v>45380</v>
      </c>
      <c r="B10" s="2">
        <v>0.19942739456012615</v>
      </c>
    </row>
    <row r="11" spans="1:2" x14ac:dyDescent="0.2">
      <c r="A11" s="6">
        <v>45289</v>
      </c>
      <c r="B11" s="2">
        <v>0.20740998367984242</v>
      </c>
    </row>
    <row r="12" spans="1:2" x14ac:dyDescent="0.2">
      <c r="A12" s="6">
        <v>45198</v>
      </c>
      <c r="B12" s="2">
        <v>0.20740998367984242</v>
      </c>
    </row>
    <row r="13" spans="1:2" x14ac:dyDescent="0.2">
      <c r="A13" s="6">
        <v>45107</v>
      </c>
      <c r="B13" s="2">
        <v>0.20740998367984242</v>
      </c>
    </row>
    <row r="14" spans="1:2" x14ac:dyDescent="0.2">
      <c r="A14" s="6">
        <v>45016</v>
      </c>
      <c r="B14" s="2">
        <v>0.20740998367984242</v>
      </c>
    </row>
    <row r="15" spans="1:2" x14ac:dyDescent="0.2">
      <c r="A15" s="6">
        <v>44925</v>
      </c>
      <c r="B15" s="2">
        <v>0.29631237098211072</v>
      </c>
    </row>
    <row r="16" spans="1:2" x14ac:dyDescent="0.2">
      <c r="A16" s="6">
        <v>44834</v>
      </c>
      <c r="B16" s="2">
        <v>0.29631237098211072</v>
      </c>
    </row>
    <row r="17" spans="1:2" x14ac:dyDescent="0.2">
      <c r="A17" s="6">
        <v>44742</v>
      </c>
      <c r="B17" s="2">
        <v>0.29631237098211072</v>
      </c>
    </row>
    <row r="18" spans="1:2" x14ac:dyDescent="0.2">
      <c r="A18" s="6">
        <v>44651</v>
      </c>
      <c r="B18" s="2">
        <v>0.29631237098211072</v>
      </c>
    </row>
    <row r="19" spans="1:2" x14ac:dyDescent="0.2">
      <c r="A19" s="6">
        <v>44561</v>
      </c>
      <c r="B19" s="2">
        <v>0.21851122323593297</v>
      </c>
    </row>
    <row r="20" spans="1:2" x14ac:dyDescent="0.2">
      <c r="A20" s="6">
        <v>44469</v>
      </c>
      <c r="B20" s="2">
        <v>0.21851122323593297</v>
      </c>
    </row>
    <row r="21" spans="1:2" x14ac:dyDescent="0.2">
      <c r="A21" s="6">
        <v>44377</v>
      </c>
      <c r="B21" s="2">
        <v>0.21851122323593297</v>
      </c>
    </row>
    <row r="22" spans="1:2" x14ac:dyDescent="0.2">
      <c r="A22" s="6">
        <v>44286</v>
      </c>
      <c r="B22" s="2">
        <v>0.21851122323593297</v>
      </c>
    </row>
    <row r="23" spans="1:2" x14ac:dyDescent="0.2">
      <c r="A23" s="6">
        <v>44196</v>
      </c>
      <c r="B23" s="2">
        <v>0.21851122323593297</v>
      </c>
    </row>
    <row r="24" spans="1:2" x14ac:dyDescent="0.2">
      <c r="A24" s="6">
        <v>44104</v>
      </c>
      <c r="B24" s="2">
        <v>0.21851122323593297</v>
      </c>
    </row>
    <row r="25" spans="1:2" x14ac:dyDescent="0.2">
      <c r="A25" s="6">
        <v>44012</v>
      </c>
      <c r="B25" s="2">
        <v>0.21851122323593297</v>
      </c>
    </row>
    <row r="26" spans="1:2" x14ac:dyDescent="0.2">
      <c r="A26" s="6">
        <v>43921</v>
      </c>
      <c r="B26" s="2">
        <v>0.21851122323593297</v>
      </c>
    </row>
    <row r="27" spans="1:2" x14ac:dyDescent="0.2">
      <c r="A27" s="6">
        <v>43830</v>
      </c>
      <c r="B27" s="2">
        <v>0.19737568636844904</v>
      </c>
    </row>
    <row r="28" spans="1:2" x14ac:dyDescent="0.2">
      <c r="A28" s="6">
        <v>43738</v>
      </c>
      <c r="B28" s="2">
        <v>0.19737568636844904</v>
      </c>
    </row>
    <row r="29" spans="1:2" x14ac:dyDescent="0.2">
      <c r="A29" s="6">
        <v>43644</v>
      </c>
      <c r="B29" s="2">
        <v>0.19737568636844904</v>
      </c>
    </row>
    <row r="30" spans="1:2" x14ac:dyDescent="0.2">
      <c r="A30" s="6">
        <v>43553</v>
      </c>
      <c r="B30" s="2">
        <v>0.19737568636844904</v>
      </c>
    </row>
    <row r="31" spans="1:2" x14ac:dyDescent="0.2">
      <c r="A31" s="6">
        <v>43465</v>
      </c>
      <c r="B31" s="2">
        <v>0.21979413442919005</v>
      </c>
    </row>
    <row r="32" spans="1:2" x14ac:dyDescent="0.2">
      <c r="A32" s="6">
        <v>43371</v>
      </c>
      <c r="B32" s="2">
        <v>0.21979413442919005</v>
      </c>
    </row>
    <row r="33" spans="1:2" x14ac:dyDescent="0.2">
      <c r="A33" s="6">
        <v>43280</v>
      </c>
      <c r="B33" s="2">
        <v>0.21979413442919005</v>
      </c>
    </row>
    <row r="34" spans="1:2" x14ac:dyDescent="0.2">
      <c r="A34" s="6">
        <v>43189</v>
      </c>
      <c r="B34" s="2">
        <v>0.21979413442919005</v>
      </c>
    </row>
    <row r="35" spans="1:2" x14ac:dyDescent="0.2">
      <c r="A35" s="6">
        <v>43098</v>
      </c>
      <c r="B35" s="2">
        <v>0.19097275639381572</v>
      </c>
    </row>
    <row r="36" spans="1:2" x14ac:dyDescent="0.2">
      <c r="A36" s="6">
        <v>43007</v>
      </c>
      <c r="B36" s="2">
        <v>0.19097275639381572</v>
      </c>
    </row>
    <row r="37" spans="1:2" x14ac:dyDescent="0.2">
      <c r="A37" s="6">
        <v>42916</v>
      </c>
      <c r="B37" s="2">
        <v>0.19097275639381572</v>
      </c>
    </row>
    <row r="38" spans="1:2" x14ac:dyDescent="0.2">
      <c r="A38" s="6">
        <v>42825</v>
      </c>
      <c r="B38" s="2">
        <v>0.19097275639381572</v>
      </c>
    </row>
    <row r="39" spans="1:2" x14ac:dyDescent="0.2">
      <c r="A39" s="6">
        <v>42734</v>
      </c>
      <c r="B39" s="2">
        <v>0.11604452586440295</v>
      </c>
    </row>
    <row r="40" spans="1:2" x14ac:dyDescent="0.2">
      <c r="A40" s="6">
        <v>42643</v>
      </c>
      <c r="B40" s="2">
        <v>0.11604452586440295</v>
      </c>
    </row>
    <row r="41" spans="1:2" x14ac:dyDescent="0.2">
      <c r="A41" s="6">
        <v>42551</v>
      </c>
      <c r="B41" s="2">
        <v>0.11604452586440295</v>
      </c>
    </row>
    <row r="42" spans="1:2" x14ac:dyDescent="0.2">
      <c r="A42" s="6">
        <v>42460</v>
      </c>
      <c r="B42" s="2">
        <v>0.11604452586440295</v>
      </c>
    </row>
    <row r="43" spans="1:2" x14ac:dyDescent="0.2">
      <c r="A43" s="6">
        <v>42369</v>
      </c>
      <c r="B43" s="2">
        <v>0.15976485583270383</v>
      </c>
    </row>
    <row r="44" spans="1:2" x14ac:dyDescent="0.2">
      <c r="A44" s="6">
        <v>42277</v>
      </c>
      <c r="B44" s="2">
        <v>0.15976485583270383</v>
      </c>
    </row>
    <row r="45" spans="1:2" x14ac:dyDescent="0.2">
      <c r="A45" s="6">
        <v>42185</v>
      </c>
      <c r="B45" s="2">
        <v>0.15976485583270383</v>
      </c>
    </row>
    <row r="46" spans="1:2" x14ac:dyDescent="0.2">
      <c r="A46" s="6">
        <v>42094</v>
      </c>
      <c r="B46" s="2">
        <v>0.15976485583270383</v>
      </c>
    </row>
    <row r="47" spans="1:2" x14ac:dyDescent="0.2">
      <c r="A47" s="6">
        <v>42004</v>
      </c>
      <c r="B47" s="2">
        <v>0.16352202103357349</v>
      </c>
    </row>
    <row r="48" spans="1:2" x14ac:dyDescent="0.2">
      <c r="A48" s="6">
        <v>41912</v>
      </c>
      <c r="B48" s="2">
        <v>0.16352202103357349</v>
      </c>
    </row>
    <row r="49" spans="1:2" x14ac:dyDescent="0.2">
      <c r="A49" s="6">
        <v>41820</v>
      </c>
      <c r="B49" s="2">
        <v>0.16352202103357349</v>
      </c>
    </row>
    <row r="50" spans="1:2" x14ac:dyDescent="0.2">
      <c r="A50" s="6">
        <v>41729</v>
      </c>
      <c r="B50" s="2">
        <v>0.16352202103357349</v>
      </c>
    </row>
    <row r="51" spans="1:2" x14ac:dyDescent="0.2">
      <c r="A51" s="6">
        <v>41639</v>
      </c>
      <c r="B51" s="2">
        <v>6.3081038573095327E-2</v>
      </c>
    </row>
    <row r="52" spans="1:2" x14ac:dyDescent="0.2">
      <c r="A52" s="6">
        <v>41547</v>
      </c>
      <c r="B52" s="2">
        <v>6.3081038573095327E-2</v>
      </c>
    </row>
    <row r="53" spans="1:2" x14ac:dyDescent="0.2">
      <c r="A53" s="6">
        <v>41453</v>
      </c>
      <c r="B53" s="2">
        <v>6.3081038573095327E-2</v>
      </c>
    </row>
    <row r="54" spans="1:2" x14ac:dyDescent="0.2">
      <c r="A54" s="6">
        <v>41362</v>
      </c>
      <c r="B54" s="2">
        <v>6.3081038573095327E-2</v>
      </c>
    </row>
    <row r="55" spans="1:2" x14ac:dyDescent="0.2">
      <c r="A55" s="6">
        <v>41274</v>
      </c>
      <c r="B55" s="2">
        <v>0.16630554261079133</v>
      </c>
    </row>
    <row r="56" spans="1:2" x14ac:dyDescent="0.2">
      <c r="A56" s="6">
        <v>41180</v>
      </c>
      <c r="B56" s="2">
        <v>0.16630554261079133</v>
      </c>
    </row>
    <row r="57" spans="1:2" x14ac:dyDescent="0.2">
      <c r="A57" s="6">
        <v>41089</v>
      </c>
      <c r="B57" s="2">
        <v>0.16630554261079133</v>
      </c>
    </row>
    <row r="58" spans="1:2" x14ac:dyDescent="0.2">
      <c r="A58" s="6">
        <v>40998</v>
      </c>
      <c r="B58" s="2">
        <v>0.16630554261079133</v>
      </c>
    </row>
    <row r="59" spans="1:2" x14ac:dyDescent="0.2">
      <c r="A59" s="6">
        <v>40907</v>
      </c>
      <c r="B59" s="2">
        <v>8.1955082324306261E-2</v>
      </c>
    </row>
    <row r="60" spans="1:2" x14ac:dyDescent="0.2">
      <c r="A60" s="6">
        <v>40816</v>
      </c>
      <c r="B60" s="2">
        <v>8.1955082324306261E-2</v>
      </c>
    </row>
    <row r="61" spans="1:2" x14ac:dyDescent="0.2">
      <c r="A61" s="6">
        <v>40724</v>
      </c>
      <c r="B61" s="2">
        <v>8.1955082324306261E-2</v>
      </c>
    </row>
    <row r="62" spans="1:2" x14ac:dyDescent="0.2">
      <c r="A62" s="6">
        <v>40633</v>
      </c>
      <c r="B62" s="2">
        <v>8.1955082324306261E-2</v>
      </c>
    </row>
    <row r="63" spans="1:2" x14ac:dyDescent="0.2">
      <c r="A63" s="6">
        <v>40543</v>
      </c>
      <c r="B63" s="2">
        <v>0.16422876387936824</v>
      </c>
    </row>
    <row r="64" spans="1:2" x14ac:dyDescent="0.2">
      <c r="A64" s="6">
        <v>40451</v>
      </c>
      <c r="B64" s="2">
        <v>0.16422876387936824</v>
      </c>
    </row>
    <row r="65" spans="1:2" x14ac:dyDescent="0.2">
      <c r="A65" s="6">
        <v>40359</v>
      </c>
      <c r="B65" s="2">
        <v>0.16422876387936824</v>
      </c>
    </row>
    <row r="66" spans="1:2" x14ac:dyDescent="0.2">
      <c r="A66" s="6">
        <v>40268</v>
      </c>
      <c r="B66" s="2">
        <v>0.16422876387936824</v>
      </c>
    </row>
    <row r="67" spans="1:2" x14ac:dyDescent="0.2">
      <c r="A67" s="6">
        <v>40178</v>
      </c>
      <c r="B67" s="2">
        <v>9.8921071818041106E-2</v>
      </c>
    </row>
    <row r="68" spans="1:2" x14ac:dyDescent="0.2">
      <c r="A68" s="6">
        <v>40086</v>
      </c>
      <c r="B68" s="2">
        <v>9.8921071818041106E-2</v>
      </c>
    </row>
    <row r="69" spans="1:2" x14ac:dyDescent="0.2">
      <c r="A69" s="6">
        <v>39994</v>
      </c>
      <c r="B69" s="2">
        <v>9.8921071818041106E-2</v>
      </c>
    </row>
    <row r="70" spans="1:2" x14ac:dyDescent="0.2">
      <c r="A70" s="6">
        <v>39903</v>
      </c>
      <c r="B70" s="2">
        <v>9.8921071818041106E-2</v>
      </c>
    </row>
    <row r="71" spans="1:2" x14ac:dyDescent="0.2">
      <c r="A71" s="6">
        <v>39813</v>
      </c>
      <c r="B71" s="2">
        <v>0.13174380131441188</v>
      </c>
    </row>
    <row r="72" spans="1:2" x14ac:dyDescent="0.2">
      <c r="A72" s="6">
        <v>39721</v>
      </c>
      <c r="B72" s="2">
        <v>0.13174380131441188</v>
      </c>
    </row>
    <row r="73" spans="1:2" x14ac:dyDescent="0.2">
      <c r="A73" s="6">
        <v>39629</v>
      </c>
      <c r="B73" s="2">
        <v>0.13174380131441188</v>
      </c>
    </row>
    <row r="74" spans="1:2" x14ac:dyDescent="0.2">
      <c r="A74" s="6">
        <v>39538</v>
      </c>
      <c r="B74" s="2">
        <v>0.13174380131441188</v>
      </c>
    </row>
    <row r="75" spans="1:2" x14ac:dyDescent="0.2">
      <c r="A75" s="6">
        <v>39447</v>
      </c>
      <c r="B75" s="2">
        <v>0.13872501742579346</v>
      </c>
    </row>
    <row r="76" spans="1:2" x14ac:dyDescent="0.2">
      <c r="A76" s="6">
        <v>39353</v>
      </c>
      <c r="B76" s="2">
        <v>0.13872501742579346</v>
      </c>
    </row>
    <row r="77" spans="1:2" x14ac:dyDescent="0.2">
      <c r="A77" s="6">
        <v>39262</v>
      </c>
      <c r="B77" s="2">
        <v>0.13872501742579346</v>
      </c>
    </row>
    <row r="78" spans="1:2" x14ac:dyDescent="0.2">
      <c r="A78" s="6">
        <v>39171</v>
      </c>
      <c r="B78" s="2">
        <v>0.13872501742579346</v>
      </c>
    </row>
    <row r="79" spans="1:2" x14ac:dyDescent="0.2">
      <c r="A79" s="6">
        <v>39080</v>
      </c>
      <c r="B79" s="2">
        <v>0.10189021056821734</v>
      </c>
    </row>
    <row r="80" spans="1:2" x14ac:dyDescent="0.2">
      <c r="A80" s="6">
        <v>38989</v>
      </c>
      <c r="B80" s="2">
        <v>0.10189021056821734</v>
      </c>
    </row>
    <row r="81" spans="1:2" x14ac:dyDescent="0.2">
      <c r="A81" s="6">
        <v>38898</v>
      </c>
      <c r="B81" s="2">
        <v>0.10189021056821734</v>
      </c>
    </row>
    <row r="82" spans="1:2" x14ac:dyDescent="0.2">
      <c r="A82" s="6">
        <v>38807</v>
      </c>
      <c r="B82" s="2">
        <v>0.10189021056821734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F63F-DC15-4586-B7AC-950AB85B9F46}">
  <dimension ref="A1:H245"/>
  <sheetViews>
    <sheetView topLeftCell="A42" workbookViewId="0">
      <selection activeCell="H24" sqref="H24"/>
    </sheetView>
  </sheetViews>
  <sheetFormatPr baseColWidth="10" defaultColWidth="8.83203125" defaultRowHeight="15" outlineLevelCol="1" x14ac:dyDescent="0.2"/>
  <cols>
    <col min="1" max="1" width="13.83203125" customWidth="1"/>
    <col min="2" max="2" width="16" bestFit="1" customWidth="1"/>
    <col min="3" max="7" width="9.1640625" hidden="1" customWidth="1" outlineLevel="1"/>
    <col min="8" max="8" width="20" customWidth="1" collapsed="1"/>
  </cols>
  <sheetData>
    <row r="1" spans="1:8" x14ac:dyDescent="0.2">
      <c r="A1" t="s">
        <v>0</v>
      </c>
      <c r="B1" t="s">
        <v>15</v>
      </c>
    </row>
    <row r="2" spans="1:8" x14ac:dyDescent="0.2">
      <c r="A2" t="s">
        <v>2</v>
      </c>
      <c r="B2" s="5">
        <v>38656</v>
      </c>
    </row>
    <row r="3" spans="1:8" x14ac:dyDescent="0.2">
      <c r="A3" t="s">
        <v>3</v>
      </c>
      <c r="B3" s="5">
        <v>45900</v>
      </c>
    </row>
    <row r="4" spans="1:8" x14ac:dyDescent="0.2">
      <c r="A4" t="s">
        <v>4</v>
      </c>
      <c r="B4" t="s">
        <v>19</v>
      </c>
      <c r="H4" t="s">
        <v>40</v>
      </c>
    </row>
    <row r="6" spans="1:8" x14ac:dyDescent="0.2">
      <c r="A6" t="s">
        <v>6</v>
      </c>
      <c r="B6" t="s">
        <v>16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45838</v>
      </c>
      <c r="B7">
        <v>0.2</v>
      </c>
      <c r="C7">
        <v>0.30000000000000004</v>
      </c>
      <c r="D7">
        <v>300</v>
      </c>
      <c r="E7">
        <v>400.2</v>
      </c>
      <c r="F7">
        <v>533.20000000000005</v>
      </c>
      <c r="G7">
        <v>400.9022556390978</v>
      </c>
    </row>
    <row r="8" spans="1:8" x14ac:dyDescent="0.2">
      <c r="A8" s="6">
        <v>45747</v>
      </c>
      <c r="B8">
        <v>-0.1</v>
      </c>
      <c r="C8">
        <v>-0.30000000000000004</v>
      </c>
      <c r="D8">
        <v>-150</v>
      </c>
      <c r="E8">
        <v>-133</v>
      </c>
      <c r="F8" t="s">
        <v>11</v>
      </c>
      <c r="G8" t="s">
        <v>11</v>
      </c>
    </row>
    <row r="9" spans="1:8" x14ac:dyDescent="0.2">
      <c r="A9" s="6">
        <v>45657</v>
      </c>
      <c r="B9">
        <v>0.2</v>
      </c>
      <c r="C9">
        <v>0.2</v>
      </c>
      <c r="D9" t="e">
        <v>#DIV/0!</v>
      </c>
      <c r="E9" t="s">
        <v>12</v>
      </c>
      <c r="F9" t="s">
        <v>11</v>
      </c>
      <c r="G9" t="s">
        <v>11</v>
      </c>
    </row>
    <row r="10" spans="1:8" x14ac:dyDescent="0.2">
      <c r="A10" s="6">
        <v>45565</v>
      </c>
      <c r="B10">
        <v>0</v>
      </c>
      <c r="C10">
        <v>-0.1</v>
      </c>
      <c r="D10">
        <v>-100</v>
      </c>
      <c r="E10">
        <v>-100</v>
      </c>
      <c r="F10">
        <v>-33.099999999999994</v>
      </c>
      <c r="G10">
        <v>-49.476831091180856</v>
      </c>
    </row>
    <row r="11" spans="1:8" x14ac:dyDescent="0.2">
      <c r="A11" s="6">
        <v>45471</v>
      </c>
      <c r="B11">
        <v>0.1</v>
      </c>
      <c r="C11">
        <v>-0.1</v>
      </c>
      <c r="D11">
        <v>-50</v>
      </c>
      <c r="E11">
        <v>-66.900000000000006</v>
      </c>
      <c r="F11">
        <v>-41.600000000000009</v>
      </c>
      <c r="G11">
        <v>-164.42687747035578</v>
      </c>
    </row>
    <row r="12" spans="1:8" x14ac:dyDescent="0.2">
      <c r="A12" s="6">
        <v>45380</v>
      </c>
      <c r="B12">
        <v>0.2</v>
      </c>
      <c r="C12">
        <v>-9.9999999999999978E-2</v>
      </c>
      <c r="D12">
        <v>-33.333333333333329</v>
      </c>
      <c r="E12">
        <v>-25.3</v>
      </c>
      <c r="F12">
        <v>-24.8</v>
      </c>
      <c r="G12">
        <v>-4960</v>
      </c>
    </row>
    <row r="13" spans="1:8" x14ac:dyDescent="0.2">
      <c r="A13" s="6">
        <v>45289</v>
      </c>
      <c r="B13">
        <v>0.3</v>
      </c>
      <c r="C13">
        <v>0</v>
      </c>
      <c r="D13">
        <v>0</v>
      </c>
      <c r="E13">
        <v>-0.5</v>
      </c>
      <c r="F13">
        <v>0.8</v>
      </c>
      <c r="G13">
        <v>61.538461538461533</v>
      </c>
    </row>
    <row r="14" spans="1:8" x14ac:dyDescent="0.2">
      <c r="A14" s="6">
        <v>45198</v>
      </c>
      <c r="B14">
        <v>0.3</v>
      </c>
      <c r="C14">
        <v>0</v>
      </c>
      <c r="D14">
        <v>0</v>
      </c>
      <c r="E14">
        <v>-1.3</v>
      </c>
      <c r="F14">
        <v>-100.2</v>
      </c>
      <c r="G14">
        <v>-101.31445904954499</v>
      </c>
    </row>
    <row r="15" spans="1:8" x14ac:dyDescent="0.2">
      <c r="A15" s="6">
        <v>45107</v>
      </c>
      <c r="B15">
        <v>0.3</v>
      </c>
      <c r="C15">
        <v>0.19999999999999998</v>
      </c>
      <c r="D15">
        <v>200</v>
      </c>
      <c r="E15">
        <v>98.9</v>
      </c>
      <c r="F15">
        <v>-199.9</v>
      </c>
      <c r="G15">
        <v>-66.900937081659976</v>
      </c>
    </row>
    <row r="16" spans="1:8" x14ac:dyDescent="0.2">
      <c r="A16" s="6">
        <v>45016</v>
      </c>
      <c r="B16">
        <v>0.1</v>
      </c>
      <c r="C16">
        <v>0.2</v>
      </c>
      <c r="D16">
        <v>200</v>
      </c>
      <c r="E16">
        <v>298.8</v>
      </c>
      <c r="F16">
        <v>412.9</v>
      </c>
      <c r="G16">
        <v>361.87554776511831</v>
      </c>
    </row>
    <row r="17" spans="1:7" x14ac:dyDescent="0.2">
      <c r="A17" s="6">
        <v>44925</v>
      </c>
      <c r="B17">
        <v>-0.1</v>
      </c>
      <c r="C17">
        <v>-0.6</v>
      </c>
      <c r="D17">
        <v>-120</v>
      </c>
      <c r="E17">
        <v>-114.1</v>
      </c>
      <c r="F17">
        <v>-77.3</v>
      </c>
      <c r="G17">
        <v>-210.05434782608697</v>
      </c>
    </row>
    <row r="18" spans="1:7" x14ac:dyDescent="0.2">
      <c r="A18" s="6">
        <v>44834</v>
      </c>
      <c r="B18">
        <v>0.5</v>
      </c>
      <c r="C18">
        <v>-0.19999999999999996</v>
      </c>
      <c r="D18">
        <v>-28.571428571428569</v>
      </c>
      <c r="E18">
        <v>-36.799999999999997</v>
      </c>
      <c r="F18">
        <v>-3.7999999999999972</v>
      </c>
      <c r="G18">
        <v>-11.515151515151507</v>
      </c>
    </row>
    <row r="19" spans="1:7" x14ac:dyDescent="0.2">
      <c r="A19" s="6">
        <v>44742</v>
      </c>
      <c r="B19">
        <v>0.7</v>
      </c>
      <c r="C19">
        <v>-0.40000000000000013</v>
      </c>
      <c r="D19">
        <v>-36.363636363636374</v>
      </c>
      <c r="E19">
        <v>-33</v>
      </c>
      <c r="F19">
        <v>-157.19999999999999</v>
      </c>
      <c r="G19">
        <v>-126.57004830917873</v>
      </c>
    </row>
    <row r="20" spans="1:7" x14ac:dyDescent="0.2">
      <c r="A20" s="6">
        <v>44651</v>
      </c>
      <c r="B20">
        <v>1.1000000000000001</v>
      </c>
      <c r="C20">
        <v>0.60000000000000009</v>
      </c>
      <c r="D20">
        <v>120.00000000000001</v>
      </c>
      <c r="E20">
        <v>124.2</v>
      </c>
      <c r="F20">
        <v>138</v>
      </c>
      <c r="G20">
        <v>1000</v>
      </c>
    </row>
    <row r="21" spans="1:7" x14ac:dyDescent="0.2">
      <c r="A21" s="6">
        <v>44561</v>
      </c>
      <c r="B21">
        <v>0.5</v>
      </c>
      <c r="C21">
        <v>-9.9999999999999978E-2</v>
      </c>
      <c r="D21">
        <v>-16.666666666666664</v>
      </c>
      <c r="E21">
        <v>-13.8</v>
      </c>
      <c r="F21">
        <v>-111</v>
      </c>
      <c r="G21">
        <v>-114.19753086419753</v>
      </c>
    </row>
    <row r="22" spans="1:7" x14ac:dyDescent="0.2">
      <c r="A22" s="6">
        <v>44469</v>
      </c>
      <c r="B22">
        <v>0.6</v>
      </c>
      <c r="C22">
        <v>0.3</v>
      </c>
      <c r="D22">
        <v>100</v>
      </c>
      <c r="E22">
        <v>97.2</v>
      </c>
      <c r="F22">
        <v>-200.2</v>
      </c>
      <c r="G22">
        <v>-67.316745124411568</v>
      </c>
    </row>
    <row r="23" spans="1:7" x14ac:dyDescent="0.2">
      <c r="A23" s="6">
        <v>44377</v>
      </c>
      <c r="B23">
        <v>0.3</v>
      </c>
      <c r="C23">
        <v>0.19999999999999998</v>
      </c>
      <c r="D23">
        <v>200</v>
      </c>
      <c r="E23">
        <v>297.39999999999998</v>
      </c>
      <c r="F23">
        <v>377.59999999999997</v>
      </c>
      <c r="G23">
        <v>470.82294264339151</v>
      </c>
    </row>
    <row r="24" spans="1:7" x14ac:dyDescent="0.2">
      <c r="A24" s="6">
        <v>44286</v>
      </c>
      <c r="B24">
        <v>0.1</v>
      </c>
      <c r="C24">
        <v>-0.30000000000000004</v>
      </c>
      <c r="D24">
        <v>-75</v>
      </c>
      <c r="E24">
        <v>-80.2</v>
      </c>
      <c r="F24">
        <v>-145.4</v>
      </c>
      <c r="G24">
        <v>-223.00613496932513</v>
      </c>
    </row>
    <row r="25" spans="1:7" x14ac:dyDescent="0.2">
      <c r="A25" s="6">
        <v>44196</v>
      </c>
      <c r="B25">
        <v>0.4</v>
      </c>
      <c r="C25">
        <v>0.2</v>
      </c>
      <c r="D25">
        <v>100</v>
      </c>
      <c r="E25">
        <v>65.2</v>
      </c>
      <c r="F25">
        <v>138.19999999999999</v>
      </c>
      <c r="G25">
        <v>189.31506849315065</v>
      </c>
    </row>
    <row r="26" spans="1:7" x14ac:dyDescent="0.2">
      <c r="A26" s="6">
        <v>44104</v>
      </c>
      <c r="B26">
        <v>0.2</v>
      </c>
      <c r="C26">
        <v>-0.60000000000000009</v>
      </c>
      <c r="D26">
        <v>-75</v>
      </c>
      <c r="E26">
        <v>-73</v>
      </c>
      <c r="F26">
        <v>-252.9</v>
      </c>
      <c r="G26">
        <v>-140.5780989438577</v>
      </c>
    </row>
    <row r="27" spans="1:7" x14ac:dyDescent="0.2">
      <c r="A27" s="6">
        <v>44012</v>
      </c>
      <c r="B27">
        <v>0.8</v>
      </c>
      <c r="C27">
        <v>1.8</v>
      </c>
      <c r="D27">
        <v>180</v>
      </c>
      <c r="E27">
        <v>179.9</v>
      </c>
      <c r="F27">
        <v>558.1</v>
      </c>
      <c r="G27">
        <v>147.56742464304602</v>
      </c>
    </row>
    <row r="28" spans="1:7" x14ac:dyDescent="0.2">
      <c r="A28" s="6">
        <v>43921</v>
      </c>
      <c r="B28">
        <v>-1</v>
      </c>
      <c r="C28">
        <v>-1.4</v>
      </c>
      <c r="D28">
        <v>-350</v>
      </c>
      <c r="E28">
        <v>-378.2</v>
      </c>
      <c r="F28">
        <v>-976.8</v>
      </c>
      <c r="G28">
        <v>-163.18075509522217</v>
      </c>
    </row>
    <row r="29" spans="1:7" x14ac:dyDescent="0.2">
      <c r="A29" s="6">
        <v>43830</v>
      </c>
      <c r="B29">
        <v>0.4</v>
      </c>
      <c r="C29">
        <v>0.5</v>
      </c>
      <c r="D29">
        <v>500</v>
      </c>
      <c r="E29">
        <v>598.6</v>
      </c>
      <c r="F29">
        <v>598.30000000000007</v>
      </c>
      <c r="G29">
        <v>199433.33333333337</v>
      </c>
    </row>
    <row r="30" spans="1:7" x14ac:dyDescent="0.2">
      <c r="A30" s="6">
        <v>43738</v>
      </c>
      <c r="B30">
        <v>-0.1</v>
      </c>
      <c r="C30">
        <v>0</v>
      </c>
      <c r="D30">
        <v>0</v>
      </c>
      <c r="E30">
        <v>0.3</v>
      </c>
      <c r="F30">
        <v>120.1</v>
      </c>
      <c r="G30">
        <v>100.25041736227045</v>
      </c>
    </row>
    <row r="31" spans="1:7" x14ac:dyDescent="0.2">
      <c r="A31" s="6">
        <v>43644</v>
      </c>
      <c r="B31">
        <v>-0.1</v>
      </c>
      <c r="C31">
        <v>-0.5</v>
      </c>
      <c r="D31">
        <v>-125</v>
      </c>
      <c r="E31">
        <v>-119.8</v>
      </c>
      <c r="F31">
        <v>-185.6</v>
      </c>
      <c r="G31">
        <v>-282.06686930091189</v>
      </c>
    </row>
    <row r="32" spans="1:7" x14ac:dyDescent="0.2">
      <c r="A32" s="6">
        <v>43553</v>
      </c>
      <c r="B32">
        <v>0.4</v>
      </c>
      <c r="C32">
        <v>0.2</v>
      </c>
      <c r="D32">
        <v>100</v>
      </c>
      <c r="E32">
        <v>65.8</v>
      </c>
      <c r="F32">
        <v>-334</v>
      </c>
      <c r="G32">
        <v>-83.541770885442716</v>
      </c>
    </row>
    <row r="33" spans="1:7" x14ac:dyDescent="0.2">
      <c r="A33" s="6">
        <v>43465</v>
      </c>
      <c r="B33">
        <v>0.2</v>
      </c>
      <c r="C33">
        <v>0.30000000000000004</v>
      </c>
      <c r="D33">
        <v>300</v>
      </c>
      <c r="E33">
        <v>399.8</v>
      </c>
      <c r="F33">
        <v>549.4</v>
      </c>
      <c r="G33">
        <v>367.24598930481284</v>
      </c>
    </row>
    <row r="34" spans="1:7" x14ac:dyDescent="0.2">
      <c r="A34" s="6">
        <v>43371</v>
      </c>
      <c r="B34">
        <v>-0.1</v>
      </c>
      <c r="C34">
        <v>-0.30000000000000004</v>
      </c>
      <c r="D34">
        <v>-150</v>
      </c>
      <c r="E34">
        <v>-149.6</v>
      </c>
      <c r="F34">
        <v>-249.2</v>
      </c>
      <c r="G34">
        <v>-250.20080321285141</v>
      </c>
    </row>
    <row r="35" spans="1:7" x14ac:dyDescent="0.2">
      <c r="A35" s="6">
        <v>43280</v>
      </c>
      <c r="B35">
        <v>0.2</v>
      </c>
      <c r="C35">
        <v>0.1</v>
      </c>
      <c r="D35">
        <v>100</v>
      </c>
      <c r="E35">
        <v>99.6</v>
      </c>
      <c r="F35">
        <v>100.3</v>
      </c>
      <c r="G35">
        <v>14328.571428571429</v>
      </c>
    </row>
    <row r="36" spans="1:7" x14ac:dyDescent="0.2">
      <c r="A36" s="6">
        <v>43189</v>
      </c>
      <c r="B36">
        <v>0.1</v>
      </c>
      <c r="C36">
        <v>0</v>
      </c>
      <c r="D36">
        <v>0</v>
      </c>
      <c r="E36">
        <v>-0.7</v>
      </c>
      <c r="F36">
        <v>66.3</v>
      </c>
      <c r="G36">
        <v>98.955223880597018</v>
      </c>
    </row>
    <row r="37" spans="1:7" x14ac:dyDescent="0.2">
      <c r="A37" s="6">
        <v>43098</v>
      </c>
      <c r="B37">
        <v>0.1</v>
      </c>
      <c r="C37">
        <v>-0.1</v>
      </c>
      <c r="D37">
        <v>-50</v>
      </c>
      <c r="E37">
        <v>-67</v>
      </c>
      <c r="F37" t="s">
        <v>11</v>
      </c>
      <c r="G37" t="s">
        <v>11</v>
      </c>
    </row>
    <row r="38" spans="1:7" x14ac:dyDescent="0.2">
      <c r="A38" s="6">
        <v>43007</v>
      </c>
      <c r="B38">
        <v>0.2</v>
      </c>
      <c r="C38">
        <v>0.2</v>
      </c>
      <c r="D38" t="e">
        <v>#DIV/0!</v>
      </c>
      <c r="E38" t="s">
        <v>12</v>
      </c>
      <c r="F38" t="s">
        <v>11</v>
      </c>
      <c r="G38" t="s">
        <v>11</v>
      </c>
    </row>
    <row r="39" spans="1:7" x14ac:dyDescent="0.2">
      <c r="A39" s="6">
        <v>42916</v>
      </c>
      <c r="B39">
        <v>0</v>
      </c>
      <c r="C39">
        <v>0.2</v>
      </c>
      <c r="D39">
        <v>100</v>
      </c>
      <c r="E39">
        <v>100</v>
      </c>
      <c r="F39">
        <v>249.6</v>
      </c>
      <c r="G39">
        <v>166.84491978609626</v>
      </c>
    </row>
    <row r="40" spans="1:7" x14ac:dyDescent="0.2">
      <c r="A40" s="6">
        <v>42825</v>
      </c>
      <c r="B40">
        <v>-0.2</v>
      </c>
      <c r="C40">
        <v>-0.5</v>
      </c>
      <c r="D40">
        <v>-166.66666666666669</v>
      </c>
      <c r="E40">
        <v>-149.6</v>
      </c>
      <c r="F40">
        <v>-249.1</v>
      </c>
      <c r="G40">
        <v>-250.35175879396985</v>
      </c>
    </row>
    <row r="41" spans="1:7" x14ac:dyDescent="0.2">
      <c r="A41" s="6">
        <v>42734</v>
      </c>
      <c r="B41">
        <v>0.3</v>
      </c>
      <c r="C41">
        <v>9.9999999999999978E-2</v>
      </c>
      <c r="D41">
        <v>49.999999999999986</v>
      </c>
      <c r="E41">
        <v>99.5</v>
      </c>
      <c r="F41">
        <v>133</v>
      </c>
      <c r="G41">
        <v>397.0149253731343</v>
      </c>
    </row>
    <row r="42" spans="1:7" x14ac:dyDescent="0.2">
      <c r="A42" s="6">
        <v>42643</v>
      </c>
      <c r="B42">
        <v>0.2</v>
      </c>
      <c r="C42">
        <v>0</v>
      </c>
      <c r="D42">
        <v>0</v>
      </c>
      <c r="E42">
        <v>-33.5</v>
      </c>
      <c r="F42">
        <v>-7.8999999999999986</v>
      </c>
      <c r="G42">
        <v>-30.859374999999993</v>
      </c>
    </row>
    <row r="43" spans="1:7" x14ac:dyDescent="0.2">
      <c r="A43" s="6">
        <v>42551</v>
      </c>
      <c r="B43">
        <v>0.2</v>
      </c>
      <c r="C43">
        <v>-9.9999999999999978E-2</v>
      </c>
      <c r="D43">
        <v>-33.333333333333329</v>
      </c>
      <c r="E43">
        <v>-25.6</v>
      </c>
      <c r="F43">
        <v>-325.60000000000002</v>
      </c>
      <c r="G43">
        <v>-108.53333333333335</v>
      </c>
    </row>
    <row r="44" spans="1:7" x14ac:dyDescent="0.2">
      <c r="A44" s="6">
        <v>42460</v>
      </c>
      <c r="B44">
        <v>0.3</v>
      </c>
      <c r="C44">
        <v>0.19999999999999998</v>
      </c>
      <c r="D44">
        <v>200</v>
      </c>
      <c r="E44">
        <v>300</v>
      </c>
      <c r="F44">
        <v>100.19999999999999</v>
      </c>
      <c r="G44">
        <v>50.150150150150139</v>
      </c>
    </row>
    <row r="45" spans="1:7" x14ac:dyDescent="0.2">
      <c r="A45" s="6">
        <v>42369</v>
      </c>
      <c r="B45">
        <v>0.1</v>
      </c>
      <c r="C45">
        <v>0.2</v>
      </c>
      <c r="D45">
        <v>200</v>
      </c>
      <c r="E45">
        <v>199.8</v>
      </c>
      <c r="F45">
        <v>319.70000000000005</v>
      </c>
      <c r="G45">
        <v>266.63886572143457</v>
      </c>
    </row>
    <row r="46" spans="1:7" x14ac:dyDescent="0.2">
      <c r="A46" s="6">
        <v>42277</v>
      </c>
      <c r="B46">
        <v>-0.1</v>
      </c>
      <c r="C46">
        <v>-0.5</v>
      </c>
      <c r="D46">
        <v>-125</v>
      </c>
      <c r="E46">
        <v>-119.9</v>
      </c>
      <c r="F46">
        <v>-102.7</v>
      </c>
      <c r="G46">
        <v>-597.09302325581393</v>
      </c>
    </row>
    <row r="47" spans="1:7" x14ac:dyDescent="0.2">
      <c r="A47" s="6">
        <v>42185</v>
      </c>
      <c r="B47">
        <v>0.4</v>
      </c>
      <c r="C47">
        <v>-9.9999999999999978E-2</v>
      </c>
      <c r="D47">
        <v>-19.999999999999996</v>
      </c>
      <c r="E47">
        <v>-17.2</v>
      </c>
      <c r="F47">
        <v>-417.7</v>
      </c>
      <c r="G47">
        <v>-104.29463171036205</v>
      </c>
    </row>
    <row r="48" spans="1:7" x14ac:dyDescent="0.2">
      <c r="A48" s="6">
        <v>42094</v>
      </c>
      <c r="B48">
        <v>0.5</v>
      </c>
      <c r="C48">
        <v>0.7</v>
      </c>
      <c r="D48">
        <v>350</v>
      </c>
      <c r="E48">
        <v>400.5</v>
      </c>
      <c r="F48">
        <v>600.29999999999995</v>
      </c>
      <c r="G48">
        <v>300.45045045045038</v>
      </c>
    </row>
    <row r="49" spans="1:7" x14ac:dyDescent="0.2">
      <c r="A49" s="6">
        <v>42004</v>
      </c>
      <c r="B49">
        <v>-0.2</v>
      </c>
      <c r="C49">
        <v>-0.4</v>
      </c>
      <c r="D49">
        <v>-200</v>
      </c>
      <c r="E49">
        <v>-199.8</v>
      </c>
      <c r="F49">
        <v>-166.3</v>
      </c>
      <c r="G49">
        <v>-496.41791044776119</v>
      </c>
    </row>
    <row r="50" spans="1:7" x14ac:dyDescent="0.2">
      <c r="A50" s="6">
        <v>41912</v>
      </c>
      <c r="B50">
        <v>0.2</v>
      </c>
      <c r="C50">
        <v>0</v>
      </c>
      <c r="D50">
        <v>0</v>
      </c>
      <c r="E50">
        <v>-33.5</v>
      </c>
      <c r="F50">
        <v>-82.5</v>
      </c>
      <c r="G50">
        <v>-168.36734693877551</v>
      </c>
    </row>
    <row r="51" spans="1:7" x14ac:dyDescent="0.2">
      <c r="A51" s="6">
        <v>41820</v>
      </c>
      <c r="B51">
        <v>0.2</v>
      </c>
      <c r="C51">
        <v>0</v>
      </c>
      <c r="D51">
        <v>0</v>
      </c>
      <c r="E51">
        <v>49</v>
      </c>
      <c r="F51">
        <v>99.4</v>
      </c>
      <c r="G51">
        <v>197.22222222222223</v>
      </c>
    </row>
    <row r="52" spans="1:7" x14ac:dyDescent="0.2">
      <c r="A52" s="6">
        <v>41729</v>
      </c>
      <c r="B52">
        <v>0.2</v>
      </c>
      <c r="C52">
        <v>-9.9999999999999978E-2</v>
      </c>
      <c r="D52">
        <v>-33.333333333333329</v>
      </c>
      <c r="E52">
        <v>-50.4</v>
      </c>
      <c r="F52">
        <v>-149.9</v>
      </c>
      <c r="G52">
        <v>-150.6532663316583</v>
      </c>
    </row>
    <row r="53" spans="1:7" x14ac:dyDescent="0.2">
      <c r="A53" s="6">
        <v>41639</v>
      </c>
      <c r="B53">
        <v>0.3</v>
      </c>
      <c r="C53">
        <v>9.9999999999999978E-2</v>
      </c>
      <c r="D53">
        <v>49.999999999999986</v>
      </c>
      <c r="E53">
        <v>99.5</v>
      </c>
      <c r="F53">
        <v>133.19999999999999</v>
      </c>
      <c r="G53">
        <v>395.25222551928772</v>
      </c>
    </row>
    <row r="54" spans="1:7" x14ac:dyDescent="0.2">
      <c r="A54" s="6">
        <v>41547</v>
      </c>
      <c r="B54">
        <v>0.2</v>
      </c>
      <c r="C54">
        <v>0</v>
      </c>
      <c r="D54">
        <v>0</v>
      </c>
      <c r="E54">
        <v>-33.700000000000003</v>
      </c>
      <c r="F54">
        <v>-435.2</v>
      </c>
      <c r="G54">
        <v>-108.39352428393525</v>
      </c>
    </row>
    <row r="55" spans="1:7" x14ac:dyDescent="0.2">
      <c r="A55" s="6">
        <v>41453</v>
      </c>
      <c r="B55">
        <v>0.2</v>
      </c>
      <c r="C55">
        <v>0.30000000000000004</v>
      </c>
      <c r="D55">
        <v>300</v>
      </c>
      <c r="E55">
        <v>401.5</v>
      </c>
      <c r="F55">
        <v>400.9</v>
      </c>
      <c r="G55">
        <v>66816.666666666672</v>
      </c>
    </row>
    <row r="56" spans="1:7" x14ac:dyDescent="0.2">
      <c r="A56" s="6">
        <v>41362</v>
      </c>
      <c r="B56">
        <v>-0.1</v>
      </c>
      <c r="C56">
        <v>0</v>
      </c>
      <c r="D56">
        <v>0</v>
      </c>
      <c r="E56">
        <v>0.6</v>
      </c>
      <c r="F56">
        <v>150.4</v>
      </c>
      <c r="G56">
        <v>100.40053404539385</v>
      </c>
    </row>
    <row r="57" spans="1:7" x14ac:dyDescent="0.2">
      <c r="A57" s="6">
        <v>41274</v>
      </c>
      <c r="B57">
        <v>-0.1</v>
      </c>
      <c r="C57">
        <v>-0.30000000000000004</v>
      </c>
      <c r="D57">
        <v>-150</v>
      </c>
      <c r="E57">
        <v>-149.80000000000001</v>
      </c>
      <c r="F57">
        <v>-316.39999999999998</v>
      </c>
      <c r="G57">
        <v>-189.9159663865546</v>
      </c>
    </row>
    <row r="58" spans="1:7" x14ac:dyDescent="0.2">
      <c r="A58" s="6">
        <v>41180</v>
      </c>
      <c r="B58">
        <v>0.2</v>
      </c>
      <c r="C58">
        <v>0.4</v>
      </c>
      <c r="D58">
        <v>200</v>
      </c>
      <c r="E58">
        <v>166.6</v>
      </c>
      <c r="F58">
        <v>566.4</v>
      </c>
      <c r="G58">
        <v>141.67083541770884</v>
      </c>
    </row>
    <row r="59" spans="1:7" x14ac:dyDescent="0.2">
      <c r="A59" s="6">
        <v>41089</v>
      </c>
      <c r="B59">
        <v>-0.2</v>
      </c>
      <c r="C59">
        <v>-0.30000000000000004</v>
      </c>
      <c r="D59">
        <v>-300</v>
      </c>
      <c r="E59">
        <v>-399.8</v>
      </c>
      <c r="F59">
        <v>-549.6</v>
      </c>
      <c r="G59">
        <v>-366.88918558077432</v>
      </c>
    </row>
    <row r="60" spans="1:7" x14ac:dyDescent="0.2">
      <c r="A60" s="6">
        <v>40998</v>
      </c>
      <c r="B60">
        <v>0.1</v>
      </c>
      <c r="C60">
        <v>0.30000000000000004</v>
      </c>
      <c r="D60">
        <v>150</v>
      </c>
      <c r="E60">
        <v>149.80000000000001</v>
      </c>
      <c r="F60">
        <v>299.39999999999998</v>
      </c>
      <c r="G60">
        <v>200.13368983957218</v>
      </c>
    </row>
    <row r="61" spans="1:7" x14ac:dyDescent="0.2">
      <c r="A61" s="6">
        <v>40907</v>
      </c>
      <c r="B61">
        <v>-0.2</v>
      </c>
      <c r="C61">
        <v>-0.5</v>
      </c>
      <c r="D61">
        <v>-166.66666666666669</v>
      </c>
      <c r="E61">
        <v>-149.6</v>
      </c>
      <c r="F61">
        <v>-349.5</v>
      </c>
      <c r="G61">
        <v>-174.83741870935467</v>
      </c>
    </row>
    <row r="62" spans="1:7" x14ac:dyDescent="0.2">
      <c r="A62" s="6">
        <v>40816</v>
      </c>
      <c r="B62">
        <v>0.3</v>
      </c>
      <c r="C62">
        <v>0.6</v>
      </c>
      <c r="D62">
        <v>200</v>
      </c>
      <c r="E62">
        <v>199.9</v>
      </c>
      <c r="F62">
        <v>349.20000000000005</v>
      </c>
      <c r="G62">
        <v>233.89149363697257</v>
      </c>
    </row>
    <row r="63" spans="1:7" x14ac:dyDescent="0.2">
      <c r="A63" s="6">
        <v>40724</v>
      </c>
      <c r="B63">
        <v>-0.3</v>
      </c>
      <c r="C63">
        <v>-1</v>
      </c>
      <c r="D63">
        <v>-142.85714285714286</v>
      </c>
      <c r="E63">
        <v>-149.30000000000001</v>
      </c>
      <c r="F63">
        <v>-208.5</v>
      </c>
      <c r="G63">
        <v>-352.19594594594594</v>
      </c>
    </row>
    <row r="64" spans="1:7" x14ac:dyDescent="0.2">
      <c r="A64" s="6">
        <v>40633</v>
      </c>
      <c r="B64">
        <v>0.7</v>
      </c>
      <c r="C64">
        <v>0.29999999999999993</v>
      </c>
      <c r="D64">
        <v>74.999999999999972</v>
      </c>
      <c r="E64">
        <v>59.2</v>
      </c>
      <c r="F64">
        <v>-88.3</v>
      </c>
      <c r="G64">
        <v>-59.864406779661017</v>
      </c>
    </row>
    <row r="65" spans="1:7" x14ac:dyDescent="0.2">
      <c r="A65" s="6">
        <v>40543</v>
      </c>
      <c r="B65">
        <v>0.4</v>
      </c>
      <c r="C65">
        <v>0.2</v>
      </c>
      <c r="D65">
        <v>100</v>
      </c>
      <c r="E65">
        <v>147.5</v>
      </c>
      <c r="F65">
        <v>181.3</v>
      </c>
      <c r="G65">
        <v>536.39053254437874</v>
      </c>
    </row>
    <row r="66" spans="1:7" x14ac:dyDescent="0.2">
      <c r="A66" s="6">
        <v>40451</v>
      </c>
      <c r="B66">
        <v>0.2</v>
      </c>
      <c r="C66">
        <v>-9.9999999999999978E-2</v>
      </c>
      <c r="D66">
        <v>-33.333333333333329</v>
      </c>
      <c r="E66">
        <v>-33.799999999999997</v>
      </c>
      <c r="F66">
        <v>-234</v>
      </c>
      <c r="G66">
        <v>-116.88311688311688</v>
      </c>
    </row>
    <row r="67" spans="1:7" x14ac:dyDescent="0.2">
      <c r="A67" s="6">
        <v>40359</v>
      </c>
      <c r="B67">
        <v>0.3</v>
      </c>
      <c r="C67">
        <v>0.6</v>
      </c>
      <c r="D67">
        <v>200</v>
      </c>
      <c r="E67">
        <v>200.2</v>
      </c>
      <c r="F67" t="s">
        <v>11</v>
      </c>
      <c r="G67" t="s">
        <v>11</v>
      </c>
    </row>
    <row r="68" spans="1:7" x14ac:dyDescent="0.2">
      <c r="A68" s="6">
        <v>40268</v>
      </c>
      <c r="B68">
        <v>-0.3</v>
      </c>
      <c r="C68">
        <v>-0.3</v>
      </c>
      <c r="D68" t="e">
        <v>#DIV/0!</v>
      </c>
      <c r="E68" t="s">
        <v>12</v>
      </c>
      <c r="F68" t="s">
        <v>11</v>
      </c>
      <c r="G68" t="s">
        <v>11</v>
      </c>
    </row>
    <row r="69" spans="1:7" x14ac:dyDescent="0.2">
      <c r="A69" s="6">
        <v>40178</v>
      </c>
      <c r="B69">
        <v>0</v>
      </c>
      <c r="C69">
        <v>-0.1</v>
      </c>
      <c r="D69">
        <v>-100</v>
      </c>
      <c r="E69">
        <v>-100</v>
      </c>
      <c r="F69">
        <v>-19.900000000000006</v>
      </c>
      <c r="G69">
        <v>-24.843945068664176</v>
      </c>
    </row>
    <row r="70" spans="1:7" x14ac:dyDescent="0.2">
      <c r="A70" s="6">
        <v>40086</v>
      </c>
      <c r="B70">
        <v>0.1</v>
      </c>
      <c r="C70">
        <v>-0.30000000000000004</v>
      </c>
      <c r="D70">
        <v>-75</v>
      </c>
      <c r="E70">
        <v>-80.099999999999994</v>
      </c>
      <c r="F70">
        <v>-679.7</v>
      </c>
      <c r="G70">
        <v>-113.35890593729152</v>
      </c>
    </row>
    <row r="71" spans="1:7" x14ac:dyDescent="0.2">
      <c r="A71" s="6">
        <v>39994</v>
      </c>
      <c r="B71">
        <v>0.4</v>
      </c>
      <c r="C71">
        <v>0.5</v>
      </c>
      <c r="D71">
        <v>500</v>
      </c>
      <c r="E71">
        <v>599.6</v>
      </c>
      <c r="F71">
        <v>524.6</v>
      </c>
      <c r="G71">
        <v>699.4666666666667</v>
      </c>
    </row>
    <row r="72" spans="1:7" x14ac:dyDescent="0.2">
      <c r="A72" s="6">
        <v>39903</v>
      </c>
      <c r="B72">
        <v>-0.1</v>
      </c>
      <c r="C72">
        <v>0.19999999999999998</v>
      </c>
      <c r="D72">
        <v>66.666666666666671</v>
      </c>
      <c r="E72">
        <v>75</v>
      </c>
      <c r="F72">
        <v>578.9</v>
      </c>
      <c r="G72">
        <v>114.88390553681286</v>
      </c>
    </row>
    <row r="73" spans="1:7" x14ac:dyDescent="0.2">
      <c r="A73" s="6">
        <v>39813</v>
      </c>
      <c r="B73">
        <v>-0.3</v>
      </c>
      <c r="C73">
        <v>-0.4</v>
      </c>
      <c r="D73">
        <v>-400</v>
      </c>
      <c r="E73">
        <v>-503.9</v>
      </c>
      <c r="F73">
        <v>-416.29999999999995</v>
      </c>
      <c r="G73">
        <v>-475.22831050228308</v>
      </c>
    </row>
    <row r="74" spans="1:7" x14ac:dyDescent="0.2">
      <c r="A74" s="6">
        <v>39721</v>
      </c>
      <c r="B74">
        <v>0.1</v>
      </c>
      <c r="C74">
        <v>-0.6</v>
      </c>
      <c r="D74">
        <v>-85.714285714285722</v>
      </c>
      <c r="E74">
        <v>-87.6</v>
      </c>
      <c r="F74">
        <v>-382.29999999999995</v>
      </c>
      <c r="G74">
        <v>-129.72514421445536</v>
      </c>
    </row>
    <row r="75" spans="1:7" x14ac:dyDescent="0.2">
      <c r="A75" s="6">
        <v>39629</v>
      </c>
      <c r="B75">
        <v>0.7</v>
      </c>
      <c r="C75">
        <v>0.49999999999999994</v>
      </c>
      <c r="D75">
        <v>249.99999999999994</v>
      </c>
      <c r="E75">
        <v>294.7</v>
      </c>
      <c r="F75">
        <v>344.9</v>
      </c>
      <c r="G75">
        <v>687.05179282868517</v>
      </c>
    </row>
    <row r="76" spans="1:7" x14ac:dyDescent="0.2">
      <c r="A76" s="6">
        <v>39538</v>
      </c>
      <c r="B76">
        <v>0.2</v>
      </c>
      <c r="C76">
        <v>-0.2</v>
      </c>
      <c r="D76">
        <v>-50</v>
      </c>
      <c r="E76">
        <v>-50.2</v>
      </c>
      <c r="F76">
        <v>-49.400000000000006</v>
      </c>
      <c r="G76">
        <v>-6175.0000000000009</v>
      </c>
    </row>
    <row r="77" spans="1:7" x14ac:dyDescent="0.2">
      <c r="A77" s="6">
        <v>39447</v>
      </c>
      <c r="B77">
        <v>0.4</v>
      </c>
      <c r="C77">
        <v>0</v>
      </c>
      <c r="D77">
        <v>0</v>
      </c>
      <c r="E77">
        <v>-0.8</v>
      </c>
      <c r="F77">
        <v>-301.2</v>
      </c>
      <c r="G77">
        <v>-100.26631158455393</v>
      </c>
    </row>
    <row r="78" spans="1:7" x14ac:dyDescent="0.2">
      <c r="A78" s="6">
        <v>39353</v>
      </c>
      <c r="B78">
        <v>0.4</v>
      </c>
      <c r="C78">
        <v>0.60000000000000009</v>
      </c>
      <c r="D78">
        <v>300</v>
      </c>
      <c r="E78">
        <v>300.39999999999998</v>
      </c>
      <c r="F78">
        <v>433.5</v>
      </c>
      <c r="G78">
        <v>325.69496619083395</v>
      </c>
    </row>
    <row r="79" spans="1:7" x14ac:dyDescent="0.2">
      <c r="A79" s="6">
        <v>39262</v>
      </c>
      <c r="B79">
        <v>-0.2</v>
      </c>
      <c r="C79">
        <v>-0.7</v>
      </c>
      <c r="D79">
        <v>-140</v>
      </c>
      <c r="E79">
        <v>-133.1</v>
      </c>
      <c r="F79">
        <v>-181.6</v>
      </c>
      <c r="G79">
        <v>-374.43298969072163</v>
      </c>
    </row>
    <row r="80" spans="1:7" x14ac:dyDescent="0.2">
      <c r="A80" s="6">
        <v>39171</v>
      </c>
      <c r="B80">
        <v>0.5</v>
      </c>
      <c r="C80">
        <v>9.9999999999999978E-2</v>
      </c>
      <c r="D80">
        <v>24.999999999999993</v>
      </c>
      <c r="E80">
        <v>48.5</v>
      </c>
      <c r="F80">
        <v>-151.4</v>
      </c>
      <c r="G80">
        <v>-75.73786893446723</v>
      </c>
    </row>
    <row r="81" spans="1:7" x14ac:dyDescent="0.2">
      <c r="A81" s="6">
        <v>39080</v>
      </c>
      <c r="B81">
        <v>0.4</v>
      </c>
      <c r="C81">
        <v>0.8</v>
      </c>
      <c r="D81">
        <v>200</v>
      </c>
      <c r="E81">
        <v>199.9</v>
      </c>
      <c r="F81">
        <v>499.20000000000005</v>
      </c>
      <c r="G81">
        <v>166.78917474106251</v>
      </c>
    </row>
    <row r="82" spans="1:7" x14ac:dyDescent="0.2">
      <c r="A82" s="6">
        <v>38989</v>
      </c>
      <c r="B82">
        <v>-0.4</v>
      </c>
      <c r="C82">
        <v>-0.30000000000000004</v>
      </c>
      <c r="D82">
        <v>-300</v>
      </c>
      <c r="E82">
        <v>-299.3</v>
      </c>
      <c r="F82">
        <v>-99.9</v>
      </c>
      <c r="G82">
        <v>-50.100300902708121</v>
      </c>
    </row>
    <row r="83" spans="1:7" x14ac:dyDescent="0.2">
      <c r="A83" s="6">
        <v>38898</v>
      </c>
      <c r="B83">
        <v>-0.1</v>
      </c>
      <c r="C83">
        <v>-0.2</v>
      </c>
      <c r="D83">
        <v>-200</v>
      </c>
      <c r="E83">
        <v>-199.4</v>
      </c>
      <c r="F83">
        <v>-198.8</v>
      </c>
      <c r="G83">
        <v>-33133.333333333336</v>
      </c>
    </row>
    <row r="84" spans="1:7" x14ac:dyDescent="0.2">
      <c r="A84" s="6">
        <v>38807</v>
      </c>
      <c r="B84">
        <v>0.1</v>
      </c>
      <c r="C84">
        <v>0</v>
      </c>
      <c r="D84">
        <v>0</v>
      </c>
      <c r="E84">
        <v>-0.6</v>
      </c>
      <c r="F84">
        <v>89.5</v>
      </c>
      <c r="G84">
        <v>99.334073251942286</v>
      </c>
    </row>
    <row r="85" spans="1:7" x14ac:dyDescent="0.2">
      <c r="A85" s="6">
        <v>38716</v>
      </c>
      <c r="B85">
        <v>0.1</v>
      </c>
      <c r="E85">
        <v>-90.1</v>
      </c>
    </row>
    <row r="86" spans="1:7" x14ac:dyDescent="0.2">
      <c r="A86" s="6"/>
    </row>
    <row r="87" spans="1:7" x14ac:dyDescent="0.2">
      <c r="A87" s="6"/>
    </row>
    <row r="88" spans="1:7" x14ac:dyDescent="0.2">
      <c r="A88" s="6"/>
    </row>
    <row r="89" spans="1:7" x14ac:dyDescent="0.2">
      <c r="A89" s="6"/>
    </row>
    <row r="90" spans="1:7" x14ac:dyDescent="0.2">
      <c r="A90" s="6"/>
    </row>
    <row r="91" spans="1:7" x14ac:dyDescent="0.2">
      <c r="A91" s="6"/>
    </row>
    <row r="92" spans="1:7" x14ac:dyDescent="0.2">
      <c r="A92" s="6"/>
    </row>
    <row r="93" spans="1:7" x14ac:dyDescent="0.2">
      <c r="A93" s="6"/>
    </row>
    <row r="94" spans="1:7" x14ac:dyDescent="0.2">
      <c r="A94" s="6"/>
    </row>
    <row r="95" spans="1:7" x14ac:dyDescent="0.2">
      <c r="A95" s="6"/>
    </row>
    <row r="96" spans="1:7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2C0E-23FE-4373-97F7-AF71F1C0CE4F}">
  <dimension ref="A1:H125"/>
  <sheetViews>
    <sheetView topLeftCell="A75" workbookViewId="0">
      <selection activeCell="P94" sqref="P94"/>
    </sheetView>
  </sheetViews>
  <sheetFormatPr baseColWidth="10" defaultColWidth="8.83203125" defaultRowHeight="15" outlineLevelCol="1" x14ac:dyDescent="0.2"/>
  <cols>
    <col min="1" max="1" width="12.5" customWidth="1"/>
    <col min="2" max="2" width="16" bestFit="1" customWidth="1"/>
    <col min="3" max="7" width="9.1640625" hidden="1" customWidth="1" outlineLevel="1"/>
    <col min="8" max="8" width="9.1640625" collapsed="1"/>
  </cols>
  <sheetData>
    <row r="1" spans="1:8" x14ac:dyDescent="0.2">
      <c r="A1" t="s">
        <v>0</v>
      </c>
      <c r="B1" t="s">
        <v>17</v>
      </c>
    </row>
    <row r="2" spans="1:8" x14ac:dyDescent="0.2">
      <c r="A2" t="s">
        <v>2</v>
      </c>
      <c r="B2" s="5">
        <v>38716</v>
      </c>
    </row>
    <row r="3" spans="1:8" x14ac:dyDescent="0.2">
      <c r="A3" t="s">
        <v>3</v>
      </c>
      <c r="B3" s="5">
        <v>45838</v>
      </c>
    </row>
    <row r="4" spans="1:8" x14ac:dyDescent="0.2">
      <c r="A4" t="s">
        <v>4</v>
      </c>
      <c r="B4" t="s">
        <v>19</v>
      </c>
      <c r="H4" t="s">
        <v>40</v>
      </c>
    </row>
    <row r="6" spans="1:8" x14ac:dyDescent="0.2">
      <c r="A6" t="s">
        <v>6</v>
      </c>
      <c r="B6" t="s">
        <v>18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45838</v>
      </c>
      <c r="B7">
        <v>-0.4</v>
      </c>
      <c r="C7">
        <v>-0.9</v>
      </c>
      <c r="D7">
        <v>-180</v>
      </c>
      <c r="E7">
        <v>-178.97</v>
      </c>
      <c r="F7">
        <v>-177.79</v>
      </c>
      <c r="G7">
        <v>-15066.949152542375</v>
      </c>
    </row>
    <row r="8" spans="1:8" x14ac:dyDescent="0.2">
      <c r="A8" s="6">
        <v>45747</v>
      </c>
      <c r="B8">
        <v>0.5</v>
      </c>
      <c r="C8">
        <v>-1.0000000000000009E-2</v>
      </c>
      <c r="D8">
        <v>-1.9607843137254919</v>
      </c>
      <c r="E8">
        <v>-1.18</v>
      </c>
      <c r="F8">
        <v>13.25</v>
      </c>
      <c r="G8">
        <v>91.822591822591818</v>
      </c>
    </row>
    <row r="9" spans="1:8" x14ac:dyDescent="0.2">
      <c r="A9" s="6">
        <v>45657</v>
      </c>
      <c r="B9">
        <v>0.51</v>
      </c>
      <c r="C9">
        <v>-8.9999999999999969E-2</v>
      </c>
      <c r="D9">
        <v>-14.999999999999995</v>
      </c>
      <c r="E9">
        <v>-14.43</v>
      </c>
      <c r="F9">
        <v>-8.879999999999999</v>
      </c>
      <c r="G9">
        <v>-159.99999999999997</v>
      </c>
    </row>
    <row r="10" spans="1:8" x14ac:dyDescent="0.2">
      <c r="A10" s="6">
        <v>45565</v>
      </c>
      <c r="B10">
        <v>0.6</v>
      </c>
      <c r="C10">
        <v>-3.0000000000000027E-2</v>
      </c>
      <c r="D10">
        <v>-4.7619047619047663</v>
      </c>
      <c r="E10">
        <v>-5.55</v>
      </c>
      <c r="F10">
        <v>-24.16</v>
      </c>
      <c r="G10">
        <v>-129.82267598065556</v>
      </c>
    </row>
    <row r="11" spans="1:8" x14ac:dyDescent="0.2">
      <c r="A11" s="6">
        <v>45473</v>
      </c>
      <c r="B11">
        <v>0.63</v>
      </c>
      <c r="C11">
        <v>9.9999999999999978E-2</v>
      </c>
      <c r="D11">
        <v>18.867924528301881</v>
      </c>
      <c r="E11">
        <v>18.61</v>
      </c>
      <c r="F11">
        <v>-185.39</v>
      </c>
      <c r="G11">
        <v>-90.877450980392155</v>
      </c>
    </row>
    <row r="12" spans="1:8" x14ac:dyDescent="0.2">
      <c r="A12" s="6">
        <v>45382</v>
      </c>
      <c r="B12">
        <v>0.53</v>
      </c>
      <c r="C12">
        <v>0.35000000000000003</v>
      </c>
      <c r="D12">
        <v>194.44444444444446</v>
      </c>
      <c r="E12">
        <v>204</v>
      </c>
      <c r="F12">
        <v>-22.810000000000002</v>
      </c>
      <c r="G12">
        <v>-10.056875799127022</v>
      </c>
    </row>
    <row r="13" spans="1:8" x14ac:dyDescent="0.2">
      <c r="A13" s="6">
        <v>45291</v>
      </c>
      <c r="B13">
        <v>0.18</v>
      </c>
      <c r="C13">
        <v>0.32</v>
      </c>
      <c r="D13">
        <v>228.57142857142856</v>
      </c>
      <c r="E13">
        <v>226.81</v>
      </c>
      <c r="F13">
        <v>393.48</v>
      </c>
      <c r="G13">
        <v>236.08327833443332</v>
      </c>
    </row>
    <row r="14" spans="1:8" x14ac:dyDescent="0.2">
      <c r="A14" s="6">
        <v>45199</v>
      </c>
      <c r="B14">
        <v>-0.14000000000000001</v>
      </c>
      <c r="C14">
        <v>-0.35</v>
      </c>
      <c r="D14">
        <v>-166.66666666666669</v>
      </c>
      <c r="E14">
        <v>-166.67</v>
      </c>
      <c r="F14">
        <v>-88.079999999999984</v>
      </c>
      <c r="G14">
        <v>-112.0753276498282</v>
      </c>
    </row>
    <row r="15" spans="1:8" x14ac:dyDescent="0.2">
      <c r="A15" s="6">
        <v>45107</v>
      </c>
      <c r="B15">
        <v>0.21</v>
      </c>
      <c r="C15">
        <v>-0.76</v>
      </c>
      <c r="D15">
        <v>-78.350515463917532</v>
      </c>
      <c r="E15">
        <v>-78.59</v>
      </c>
      <c r="F15">
        <v>-854.81000000000006</v>
      </c>
      <c r="G15">
        <v>-110.12470691298859</v>
      </c>
    </row>
    <row r="16" spans="1:8" x14ac:dyDescent="0.2">
      <c r="A16" s="6">
        <v>45016</v>
      </c>
      <c r="B16">
        <v>0.97</v>
      </c>
      <c r="C16">
        <v>1.1099999999999999</v>
      </c>
      <c r="D16">
        <v>792.85714285714266</v>
      </c>
      <c r="E16">
        <v>776.22</v>
      </c>
      <c r="F16">
        <v>899.86</v>
      </c>
      <c r="G16">
        <v>727.80653510190871</v>
      </c>
    </row>
    <row r="17" spans="1:7" x14ac:dyDescent="0.2">
      <c r="A17" s="6">
        <v>44926</v>
      </c>
      <c r="B17">
        <v>-0.14000000000000001</v>
      </c>
      <c r="C17">
        <v>-0.75</v>
      </c>
      <c r="D17">
        <v>-122.95081967213115</v>
      </c>
      <c r="E17">
        <v>-123.64</v>
      </c>
      <c r="F17">
        <v>-88.14</v>
      </c>
      <c r="G17">
        <v>-248.28169014084506</v>
      </c>
    </row>
    <row r="18" spans="1:7" x14ac:dyDescent="0.2">
      <c r="A18" s="6">
        <v>44834</v>
      </c>
      <c r="B18">
        <v>0.61</v>
      </c>
      <c r="C18">
        <v>-0.32999999999999996</v>
      </c>
      <c r="D18">
        <v>-35.106382978723396</v>
      </c>
      <c r="E18">
        <v>-35.5</v>
      </c>
      <c r="F18">
        <v>-45.46</v>
      </c>
      <c r="G18">
        <v>-456.42570281124495</v>
      </c>
    </row>
    <row r="19" spans="1:7" x14ac:dyDescent="0.2">
      <c r="A19" s="6">
        <v>44742</v>
      </c>
      <c r="B19">
        <v>0.94</v>
      </c>
      <c r="C19">
        <v>8.9999999999999969E-2</v>
      </c>
      <c r="D19">
        <v>10.588235294117643</v>
      </c>
      <c r="E19">
        <v>9.9600000000000009</v>
      </c>
      <c r="F19">
        <v>62.31</v>
      </c>
      <c r="G19">
        <v>119.02578796561605</v>
      </c>
    </row>
    <row r="20" spans="1:7" x14ac:dyDescent="0.2">
      <c r="A20" s="6">
        <v>44651</v>
      </c>
      <c r="B20">
        <v>0.85</v>
      </c>
      <c r="C20">
        <v>-0.94000000000000006</v>
      </c>
      <c r="D20">
        <v>-52.513966480446925</v>
      </c>
      <c r="E20">
        <v>-52.35</v>
      </c>
      <c r="F20">
        <v>-41.18</v>
      </c>
      <c r="G20">
        <v>-368.66606982990152</v>
      </c>
    </row>
    <row r="21" spans="1:7" x14ac:dyDescent="0.2">
      <c r="A21" s="6">
        <v>44561</v>
      </c>
      <c r="B21">
        <v>1.79</v>
      </c>
      <c r="C21">
        <v>-0.22999999999999998</v>
      </c>
      <c r="D21">
        <v>-11.386138613861386</v>
      </c>
      <c r="E21">
        <v>-11.17</v>
      </c>
      <c r="F21">
        <v>-1833.39</v>
      </c>
      <c r="G21">
        <v>-100.61298855242507</v>
      </c>
    </row>
    <row r="22" spans="1:7" x14ac:dyDescent="0.2">
      <c r="A22" s="6">
        <v>44469</v>
      </c>
      <c r="B22">
        <v>2.02</v>
      </c>
      <c r="C22">
        <v>2.14</v>
      </c>
      <c r="D22">
        <v>1783.3333333333335</v>
      </c>
      <c r="E22">
        <v>1822.22</v>
      </c>
      <c r="F22">
        <v>1929.0900000000001</v>
      </c>
      <c r="G22">
        <v>1805.0809394591558</v>
      </c>
    </row>
    <row r="23" spans="1:7" x14ac:dyDescent="0.2">
      <c r="A23" s="6">
        <v>44377</v>
      </c>
      <c r="B23">
        <v>-0.12</v>
      </c>
      <c r="C23">
        <v>-1.8199999999999998</v>
      </c>
      <c r="D23">
        <v>-107.05882352941175</v>
      </c>
      <c r="E23">
        <v>-106.87</v>
      </c>
      <c r="F23">
        <v>-97.600000000000009</v>
      </c>
      <c r="G23">
        <v>-1052.8586839266452</v>
      </c>
    </row>
    <row r="24" spans="1:7" x14ac:dyDescent="0.2">
      <c r="A24" s="6">
        <v>44286</v>
      </c>
      <c r="B24">
        <v>1.7</v>
      </c>
      <c r="C24">
        <v>-0.17999999999999994</v>
      </c>
      <c r="D24">
        <v>-9.5744680851063801</v>
      </c>
      <c r="E24">
        <v>-9.27</v>
      </c>
      <c r="F24">
        <v>70.06</v>
      </c>
      <c r="G24">
        <v>88.314635068700369</v>
      </c>
    </row>
    <row r="25" spans="1:7" x14ac:dyDescent="0.2">
      <c r="A25" s="6">
        <v>44196</v>
      </c>
      <c r="B25">
        <v>1.88</v>
      </c>
      <c r="C25">
        <v>-7.2</v>
      </c>
      <c r="D25">
        <v>-79.295154185022028</v>
      </c>
      <c r="E25">
        <v>-79.33</v>
      </c>
      <c r="F25">
        <v>-261.91000000000003</v>
      </c>
      <c r="G25">
        <v>-143.44944681783329</v>
      </c>
    </row>
    <row r="26" spans="1:7" x14ac:dyDescent="0.2">
      <c r="A26" s="6">
        <v>44104</v>
      </c>
      <c r="B26">
        <v>9.08</v>
      </c>
      <c r="C26">
        <v>20.079999999999998</v>
      </c>
      <c r="D26">
        <v>182.54545454545453</v>
      </c>
      <c r="E26">
        <v>182.58</v>
      </c>
      <c r="F26">
        <v>646.68000000000006</v>
      </c>
      <c r="G26">
        <v>139.34065934065936</v>
      </c>
    </row>
    <row r="27" spans="1:7" x14ac:dyDescent="0.2">
      <c r="A27" s="6">
        <v>44012</v>
      </c>
      <c r="B27">
        <v>-11</v>
      </c>
      <c r="C27">
        <v>-9.0500000000000007</v>
      </c>
      <c r="D27">
        <v>-464.10256410256414</v>
      </c>
      <c r="E27">
        <v>-464.1</v>
      </c>
      <c r="F27">
        <v>317.72000000000003</v>
      </c>
      <c r="G27">
        <v>40.638510142999671</v>
      </c>
    </row>
    <row r="28" spans="1:7" x14ac:dyDescent="0.2">
      <c r="A28" s="6">
        <v>43921</v>
      </c>
      <c r="B28">
        <v>-1.95</v>
      </c>
      <c r="C28">
        <v>-2.2399999999999998</v>
      </c>
      <c r="D28">
        <v>-772.41379310344826</v>
      </c>
      <c r="E28">
        <v>-781.82</v>
      </c>
      <c r="F28">
        <v>-783.96</v>
      </c>
      <c r="G28">
        <v>-36633.644859813081</v>
      </c>
    </row>
    <row r="29" spans="1:7" x14ac:dyDescent="0.2">
      <c r="A29" s="6">
        <v>43830</v>
      </c>
      <c r="B29">
        <v>0.28999999999999998</v>
      </c>
      <c r="C29">
        <v>9.9999999999999534E-3</v>
      </c>
      <c r="D29">
        <v>3.5714285714285543</v>
      </c>
      <c r="E29">
        <v>2.14</v>
      </c>
      <c r="F29">
        <v>76.570000000000007</v>
      </c>
      <c r="G29">
        <v>102.87518473733709</v>
      </c>
    </row>
    <row r="30" spans="1:7" x14ac:dyDescent="0.2">
      <c r="A30" s="6">
        <v>43738</v>
      </c>
      <c r="B30">
        <v>0.28000000000000003</v>
      </c>
      <c r="C30">
        <v>-0.82000000000000006</v>
      </c>
      <c r="D30">
        <v>-74.545454545454533</v>
      </c>
      <c r="E30">
        <v>-74.430000000000007</v>
      </c>
      <c r="F30">
        <v>-428.79</v>
      </c>
      <c r="G30">
        <v>-121.00406366407043</v>
      </c>
    </row>
    <row r="31" spans="1:7" x14ac:dyDescent="0.2">
      <c r="A31" s="6">
        <v>43646</v>
      </c>
      <c r="B31">
        <v>1.1000000000000001</v>
      </c>
      <c r="C31">
        <v>0.8600000000000001</v>
      </c>
      <c r="D31">
        <v>358.33333333333343</v>
      </c>
      <c r="E31">
        <v>354.36</v>
      </c>
      <c r="F31">
        <v>352.24</v>
      </c>
      <c r="G31">
        <v>16615.094339622639</v>
      </c>
    </row>
    <row r="32" spans="1:7" x14ac:dyDescent="0.2">
      <c r="A32" s="6">
        <v>43555</v>
      </c>
      <c r="B32">
        <v>0.24</v>
      </c>
      <c r="C32">
        <v>0</v>
      </c>
      <c r="D32">
        <v>0</v>
      </c>
      <c r="E32">
        <v>2.12</v>
      </c>
      <c r="F32">
        <v>55.29</v>
      </c>
      <c r="G32">
        <v>103.9872108331766</v>
      </c>
    </row>
    <row r="33" spans="1:7" x14ac:dyDescent="0.2">
      <c r="A33" s="6">
        <v>43465</v>
      </c>
      <c r="B33">
        <v>0.24</v>
      </c>
      <c r="C33">
        <v>-0.26</v>
      </c>
      <c r="D33">
        <v>-52</v>
      </c>
      <c r="E33">
        <v>-53.17</v>
      </c>
      <c r="F33">
        <v>-17.79</v>
      </c>
      <c r="G33">
        <v>-50.282645562464666</v>
      </c>
    </row>
    <row r="34" spans="1:7" x14ac:dyDescent="0.2">
      <c r="A34" s="6">
        <v>43373</v>
      </c>
      <c r="B34">
        <v>0.5</v>
      </c>
      <c r="C34">
        <v>-0.28000000000000003</v>
      </c>
      <c r="D34">
        <v>-35.897435897435898</v>
      </c>
      <c r="E34">
        <v>-35.380000000000003</v>
      </c>
      <c r="F34">
        <v>-2.4500000000000028</v>
      </c>
      <c r="G34">
        <v>-7.4400242939568866</v>
      </c>
    </row>
    <row r="35" spans="1:7" x14ac:dyDescent="0.2">
      <c r="A35" s="6">
        <v>43281</v>
      </c>
      <c r="B35">
        <v>0.78</v>
      </c>
      <c r="C35">
        <v>-0.37999999999999989</v>
      </c>
      <c r="D35">
        <v>-32.75862068965516</v>
      </c>
      <c r="E35">
        <v>-32.93</v>
      </c>
      <c r="F35">
        <v>-162.32</v>
      </c>
      <c r="G35">
        <v>-125.45018935002706</v>
      </c>
    </row>
    <row r="36" spans="1:7" x14ac:dyDescent="0.2">
      <c r="A36" s="6">
        <v>43190</v>
      </c>
      <c r="B36">
        <v>1.1599999999999999</v>
      </c>
      <c r="C36">
        <v>0.64999999999999991</v>
      </c>
      <c r="D36">
        <v>127.45098039215684</v>
      </c>
      <c r="E36">
        <v>129.38999999999999</v>
      </c>
      <c r="F36">
        <v>-1406.0900000000001</v>
      </c>
      <c r="G36">
        <v>-91.573319092401078</v>
      </c>
    </row>
    <row r="37" spans="1:7" x14ac:dyDescent="0.2">
      <c r="A37" s="6">
        <v>43100</v>
      </c>
      <c r="B37">
        <v>0.51</v>
      </c>
      <c r="C37">
        <v>0.48</v>
      </c>
      <c r="D37">
        <v>1600</v>
      </c>
      <c r="E37">
        <v>1535.48</v>
      </c>
      <c r="F37">
        <v>1632.54</v>
      </c>
      <c r="G37">
        <v>1681.9905213270142</v>
      </c>
    </row>
    <row r="38" spans="1:7" x14ac:dyDescent="0.2">
      <c r="A38" s="6">
        <v>43008</v>
      </c>
      <c r="B38">
        <v>0.03</v>
      </c>
      <c r="C38">
        <v>-1.02</v>
      </c>
      <c r="D38">
        <v>-97.142857142857139</v>
      </c>
      <c r="E38">
        <v>-97.06</v>
      </c>
      <c r="F38">
        <v>-80.760000000000005</v>
      </c>
      <c r="G38">
        <v>-495.46012269938655</v>
      </c>
    </row>
    <row r="39" spans="1:7" x14ac:dyDescent="0.2">
      <c r="A39" s="6">
        <v>42916</v>
      </c>
      <c r="B39">
        <v>1.05</v>
      </c>
      <c r="C39">
        <v>-0.20999999999999996</v>
      </c>
      <c r="D39">
        <v>-16.666666666666664</v>
      </c>
      <c r="E39">
        <v>-16.3</v>
      </c>
      <c r="F39">
        <v>-140.54</v>
      </c>
      <c r="G39">
        <v>-113.11976819059885</v>
      </c>
    </row>
    <row r="40" spans="1:7" x14ac:dyDescent="0.2">
      <c r="A40" s="6">
        <v>42825</v>
      </c>
      <c r="B40">
        <v>1.26</v>
      </c>
      <c r="C40">
        <v>0.7</v>
      </c>
      <c r="D40">
        <v>124.99999999999999</v>
      </c>
      <c r="E40">
        <v>124.24</v>
      </c>
      <c r="F40">
        <v>170.19</v>
      </c>
      <c r="G40">
        <v>370.38084874863978</v>
      </c>
    </row>
    <row r="41" spans="1:7" x14ac:dyDescent="0.2">
      <c r="A41" s="6">
        <v>42735</v>
      </c>
      <c r="B41">
        <v>0.56000000000000005</v>
      </c>
      <c r="C41">
        <v>-0.48</v>
      </c>
      <c r="D41">
        <v>-46.153846153846153</v>
      </c>
      <c r="E41">
        <v>-45.95</v>
      </c>
      <c r="F41">
        <v>-354.38</v>
      </c>
      <c r="G41">
        <v>-114.89803196835587</v>
      </c>
    </row>
    <row r="42" spans="1:7" x14ac:dyDescent="0.2">
      <c r="A42" s="6">
        <v>42643</v>
      </c>
      <c r="B42">
        <v>1.04</v>
      </c>
      <c r="C42">
        <v>1.54</v>
      </c>
      <c r="D42">
        <v>308</v>
      </c>
      <c r="E42">
        <v>308.43</v>
      </c>
      <c r="F42">
        <v>492.55</v>
      </c>
      <c r="G42">
        <v>267.51575059743647</v>
      </c>
    </row>
    <row r="43" spans="1:7" x14ac:dyDescent="0.2">
      <c r="A43" s="6">
        <v>42551</v>
      </c>
      <c r="B43">
        <v>-0.5</v>
      </c>
      <c r="C43">
        <v>-1.0899999999999999</v>
      </c>
      <c r="D43">
        <v>-184.74576271186439</v>
      </c>
      <c r="E43">
        <v>-184.12</v>
      </c>
      <c r="F43">
        <v>-981.09</v>
      </c>
      <c r="G43">
        <v>-123.10250072148261</v>
      </c>
    </row>
    <row r="44" spans="1:7" x14ac:dyDescent="0.2">
      <c r="A44" s="6">
        <v>42460</v>
      </c>
      <c r="B44">
        <v>0.59</v>
      </c>
      <c r="C44">
        <v>0.52</v>
      </c>
      <c r="D44">
        <v>742.85714285714278</v>
      </c>
      <c r="E44">
        <v>796.97</v>
      </c>
      <c r="F44">
        <v>878.53</v>
      </c>
      <c r="G44">
        <v>1077.1579205492887</v>
      </c>
    </row>
    <row r="45" spans="1:7" x14ac:dyDescent="0.2">
      <c r="A45" s="6">
        <v>42369</v>
      </c>
      <c r="B45">
        <v>7.0000000000000007E-2</v>
      </c>
      <c r="C45">
        <v>-0.28999999999999998</v>
      </c>
      <c r="D45">
        <v>-80.555555555555543</v>
      </c>
      <c r="E45">
        <v>-81.56</v>
      </c>
      <c r="F45">
        <v>-312.7</v>
      </c>
      <c r="G45">
        <v>-135.28597386865104</v>
      </c>
    </row>
    <row r="46" spans="1:7" x14ac:dyDescent="0.2">
      <c r="A46" s="6">
        <v>42277</v>
      </c>
      <c r="B46">
        <v>0.36</v>
      </c>
      <c r="C46">
        <v>0.63</v>
      </c>
      <c r="D46">
        <v>233.33333333333331</v>
      </c>
      <c r="E46">
        <v>231.14</v>
      </c>
      <c r="F46">
        <v>180.14999999999998</v>
      </c>
      <c r="G46">
        <v>353.30456952343587</v>
      </c>
    </row>
    <row r="47" spans="1:7" x14ac:dyDescent="0.2">
      <c r="A47" s="6">
        <v>42185</v>
      </c>
      <c r="B47">
        <v>-0.27</v>
      </c>
      <c r="C47">
        <v>0.29000000000000004</v>
      </c>
      <c r="D47">
        <v>51.785714285714285</v>
      </c>
      <c r="E47">
        <v>50.99</v>
      </c>
      <c r="F47">
        <v>231.60000000000002</v>
      </c>
      <c r="G47">
        <v>128.23210231991584</v>
      </c>
    </row>
    <row r="48" spans="1:7" x14ac:dyDescent="0.2">
      <c r="A48" s="6">
        <v>42094</v>
      </c>
      <c r="B48">
        <v>-0.56000000000000005</v>
      </c>
      <c r="C48">
        <v>-1.25</v>
      </c>
      <c r="D48">
        <v>-181.15942028985509</v>
      </c>
      <c r="E48">
        <v>-180.61</v>
      </c>
      <c r="F48">
        <v>-152.66000000000003</v>
      </c>
      <c r="G48">
        <v>-546.1896243291593</v>
      </c>
    </row>
    <row r="49" spans="1:7" x14ac:dyDescent="0.2">
      <c r="A49" s="6">
        <v>42004</v>
      </c>
      <c r="B49">
        <v>0.69</v>
      </c>
      <c r="C49">
        <v>-0.27</v>
      </c>
      <c r="D49">
        <v>-28.125</v>
      </c>
      <c r="E49">
        <v>-27.95</v>
      </c>
      <c r="F49">
        <v>-33.1</v>
      </c>
      <c r="G49">
        <v>-642.71844660194165</v>
      </c>
    </row>
    <row r="50" spans="1:7" x14ac:dyDescent="0.2">
      <c r="A50" s="6">
        <v>41912</v>
      </c>
      <c r="B50">
        <v>0.96</v>
      </c>
      <c r="C50">
        <v>4.9999999999999933E-2</v>
      </c>
      <c r="D50">
        <v>5.4945054945054865</v>
      </c>
      <c r="E50">
        <v>5.15</v>
      </c>
      <c r="F50">
        <v>-434.49</v>
      </c>
      <c r="G50">
        <v>-98.828587025748348</v>
      </c>
    </row>
    <row r="51" spans="1:7" x14ac:dyDescent="0.2">
      <c r="A51" s="6">
        <v>41820</v>
      </c>
      <c r="B51">
        <v>0.91</v>
      </c>
      <c r="C51">
        <v>0.74</v>
      </c>
      <c r="D51">
        <v>435.29411764705878</v>
      </c>
      <c r="E51">
        <v>439.64</v>
      </c>
      <c r="F51">
        <v>523.5</v>
      </c>
      <c r="G51">
        <v>624.25471023133798</v>
      </c>
    </row>
    <row r="52" spans="1:7" x14ac:dyDescent="0.2">
      <c r="A52" s="6">
        <v>41729</v>
      </c>
      <c r="B52">
        <v>0.17</v>
      </c>
      <c r="C52">
        <v>-0.88</v>
      </c>
      <c r="D52">
        <v>-83.80952380952381</v>
      </c>
      <c r="E52">
        <v>-83.86</v>
      </c>
      <c r="F52">
        <v>-111.23</v>
      </c>
      <c r="G52">
        <v>-406.39386189258312</v>
      </c>
    </row>
    <row r="53" spans="1:7" x14ac:dyDescent="0.2">
      <c r="A53" s="6">
        <v>41639</v>
      </c>
      <c r="B53">
        <v>1.05</v>
      </c>
      <c r="C53">
        <v>0.23000000000000009</v>
      </c>
      <c r="D53">
        <v>28.048780487804894</v>
      </c>
      <c r="E53">
        <v>27.37</v>
      </c>
      <c r="F53">
        <v>-15.34</v>
      </c>
      <c r="G53">
        <v>-35.916647155232965</v>
      </c>
    </row>
    <row r="54" spans="1:7" x14ac:dyDescent="0.2">
      <c r="A54" s="6">
        <v>41547</v>
      </c>
      <c r="B54">
        <v>0.82</v>
      </c>
      <c r="C54">
        <v>0.24</v>
      </c>
      <c r="D54">
        <v>41.379310344827587</v>
      </c>
      <c r="E54">
        <v>42.71</v>
      </c>
      <c r="F54">
        <v>78.349999999999994</v>
      </c>
      <c r="G54">
        <v>219.83726150392815</v>
      </c>
    </row>
    <row r="55" spans="1:7" x14ac:dyDescent="0.2">
      <c r="A55" s="6">
        <v>41455</v>
      </c>
      <c r="B55">
        <v>0.57999999999999996</v>
      </c>
      <c r="C55">
        <v>-0.32000000000000006</v>
      </c>
      <c r="D55">
        <v>-35.555555555555564</v>
      </c>
      <c r="E55">
        <v>-35.64</v>
      </c>
      <c r="F55">
        <v>-370.11</v>
      </c>
      <c r="G55">
        <v>-110.6556641851287</v>
      </c>
    </row>
    <row r="56" spans="1:7" x14ac:dyDescent="0.2">
      <c r="A56" s="6">
        <v>41364</v>
      </c>
      <c r="B56">
        <v>0.9</v>
      </c>
      <c r="C56">
        <v>0.69000000000000006</v>
      </c>
      <c r="D56">
        <v>328.57142857142856</v>
      </c>
      <c r="E56">
        <v>334.47</v>
      </c>
      <c r="F56">
        <v>284.11</v>
      </c>
      <c r="G56">
        <v>564.15806195393168</v>
      </c>
    </row>
    <row r="57" spans="1:7" x14ac:dyDescent="0.2">
      <c r="A57" s="6">
        <v>41274</v>
      </c>
      <c r="B57">
        <v>0.21</v>
      </c>
      <c r="C57">
        <v>6.9999999999999979E-2</v>
      </c>
      <c r="D57">
        <v>49.999999999999986</v>
      </c>
      <c r="E57">
        <v>50.36</v>
      </c>
      <c r="F57">
        <v>108.21000000000001</v>
      </c>
      <c r="G57">
        <v>187.05272255834052</v>
      </c>
    </row>
    <row r="58" spans="1:7" x14ac:dyDescent="0.2">
      <c r="A58" s="6">
        <v>41182</v>
      </c>
      <c r="B58">
        <v>0.14000000000000001</v>
      </c>
      <c r="C58">
        <v>-0.19</v>
      </c>
      <c r="D58">
        <v>-57.575757575757571</v>
      </c>
      <c r="E58">
        <v>-57.85</v>
      </c>
      <c r="F58">
        <v>-473.72</v>
      </c>
      <c r="G58">
        <v>-113.91059706158174</v>
      </c>
    </row>
    <row r="59" spans="1:7" x14ac:dyDescent="0.2">
      <c r="A59" s="6">
        <v>41090</v>
      </c>
      <c r="B59">
        <v>0.33</v>
      </c>
      <c r="C59">
        <v>0.27</v>
      </c>
      <c r="D59">
        <v>450</v>
      </c>
      <c r="E59">
        <v>415.87</v>
      </c>
      <c r="F59">
        <v>507.95</v>
      </c>
      <c r="G59">
        <v>551.63987836663773</v>
      </c>
    </row>
    <row r="60" spans="1:7" x14ac:dyDescent="0.2">
      <c r="A60" s="6">
        <v>40999</v>
      </c>
      <c r="B60">
        <v>0.06</v>
      </c>
      <c r="C60">
        <v>-0.74</v>
      </c>
      <c r="D60">
        <v>-92.5</v>
      </c>
      <c r="E60">
        <v>-92.08</v>
      </c>
      <c r="F60">
        <v>-50.19</v>
      </c>
      <c r="G60">
        <v>-119.81379804249224</v>
      </c>
    </row>
    <row r="61" spans="1:7" x14ac:dyDescent="0.2">
      <c r="A61" s="6">
        <v>40908</v>
      </c>
      <c r="B61">
        <v>0.8</v>
      </c>
      <c r="C61">
        <v>-0.57000000000000006</v>
      </c>
      <c r="D61">
        <v>-41.605839416058394</v>
      </c>
      <c r="E61">
        <v>-41.89</v>
      </c>
      <c r="F61">
        <v>-693.54</v>
      </c>
      <c r="G61">
        <v>-106.42829739891046</v>
      </c>
    </row>
    <row r="62" spans="1:7" x14ac:dyDescent="0.2">
      <c r="A62" s="6">
        <v>40816</v>
      </c>
      <c r="B62">
        <v>1.37</v>
      </c>
      <c r="C62">
        <v>1.1900000000000002</v>
      </c>
      <c r="D62">
        <v>661.1111111111112</v>
      </c>
      <c r="E62">
        <v>651.65</v>
      </c>
      <c r="F62">
        <v>727.77</v>
      </c>
      <c r="G62">
        <v>956.08250131371517</v>
      </c>
    </row>
    <row r="63" spans="1:7" x14ac:dyDescent="0.2">
      <c r="A63" s="6">
        <v>40724</v>
      </c>
      <c r="B63">
        <v>0.18</v>
      </c>
      <c r="C63">
        <v>-0.58000000000000007</v>
      </c>
      <c r="D63">
        <v>-76.31578947368422</v>
      </c>
      <c r="E63">
        <v>-76.12</v>
      </c>
      <c r="F63">
        <v>-44.03</v>
      </c>
      <c r="G63">
        <v>-137.20785291368026</v>
      </c>
    </row>
    <row r="64" spans="1:7" x14ac:dyDescent="0.2">
      <c r="A64" s="6">
        <v>40633</v>
      </c>
      <c r="B64">
        <v>0.76</v>
      </c>
      <c r="C64">
        <v>-0.3600000000000001</v>
      </c>
      <c r="D64">
        <v>-32.142857142857146</v>
      </c>
      <c r="E64">
        <v>-32.090000000000003</v>
      </c>
      <c r="F64">
        <v>-92.38</v>
      </c>
      <c r="G64">
        <v>-153.22607397578372</v>
      </c>
    </row>
    <row r="65" spans="1:7" x14ac:dyDescent="0.2">
      <c r="A65" s="6">
        <v>40543</v>
      </c>
      <c r="B65">
        <v>1.1200000000000001</v>
      </c>
      <c r="C65">
        <v>0.42000000000000015</v>
      </c>
      <c r="D65">
        <v>60.000000000000021</v>
      </c>
      <c r="E65">
        <v>60.29</v>
      </c>
      <c r="F65">
        <v>26.699999999999996</v>
      </c>
      <c r="G65">
        <v>79.48794284013097</v>
      </c>
    </row>
    <row r="66" spans="1:7" x14ac:dyDescent="0.2">
      <c r="A66" s="6">
        <v>40451</v>
      </c>
      <c r="B66">
        <v>0.7</v>
      </c>
      <c r="C66">
        <v>0.17999999999999994</v>
      </c>
      <c r="D66">
        <v>34.615384615384599</v>
      </c>
      <c r="E66">
        <v>33.590000000000003</v>
      </c>
      <c r="F66">
        <v>90.360000000000014</v>
      </c>
      <c r="G66">
        <v>159.16857495155895</v>
      </c>
    </row>
    <row r="67" spans="1:7" x14ac:dyDescent="0.2">
      <c r="A67" s="6">
        <v>40359</v>
      </c>
      <c r="B67">
        <v>0.52</v>
      </c>
      <c r="C67">
        <v>-0.69</v>
      </c>
      <c r="D67">
        <v>-57.024793388429757</v>
      </c>
      <c r="E67">
        <v>-56.77</v>
      </c>
      <c r="F67">
        <v>-61.07</v>
      </c>
      <c r="G67">
        <v>-1420.2325581395348</v>
      </c>
    </row>
    <row r="68" spans="1:7" x14ac:dyDescent="0.2">
      <c r="A68" s="6">
        <v>40268</v>
      </c>
      <c r="B68">
        <v>1.21</v>
      </c>
      <c r="C68">
        <v>5.0000000000000044E-2</v>
      </c>
      <c r="D68">
        <v>4.3103448275862108</v>
      </c>
      <c r="E68">
        <v>4.3</v>
      </c>
      <c r="F68">
        <v>-155.66</v>
      </c>
      <c r="G68">
        <v>-97.311827956989248</v>
      </c>
    </row>
    <row r="69" spans="1:7" x14ac:dyDescent="0.2">
      <c r="A69" s="6">
        <v>40178</v>
      </c>
      <c r="B69">
        <v>1.1599999999999999</v>
      </c>
      <c r="C69">
        <v>0.71</v>
      </c>
      <c r="D69">
        <v>157.77777777777777</v>
      </c>
      <c r="E69">
        <v>159.96</v>
      </c>
      <c r="F69">
        <v>18.53</v>
      </c>
      <c r="G69">
        <v>13.101887859718587</v>
      </c>
    </row>
    <row r="70" spans="1:7" x14ac:dyDescent="0.2">
      <c r="A70" s="6">
        <v>40086</v>
      </c>
      <c r="B70">
        <v>0.45</v>
      </c>
      <c r="C70">
        <v>1.53</v>
      </c>
      <c r="D70">
        <v>141.66666666666666</v>
      </c>
      <c r="E70">
        <v>141.43</v>
      </c>
      <c r="F70">
        <v>89.240000000000009</v>
      </c>
      <c r="G70">
        <v>170.99061122820464</v>
      </c>
    </row>
    <row r="71" spans="1:7" x14ac:dyDescent="0.2">
      <c r="A71" s="6">
        <v>39994</v>
      </c>
      <c r="B71">
        <v>-1.08</v>
      </c>
      <c r="C71">
        <v>1.1799999999999997</v>
      </c>
      <c r="D71">
        <v>52.212389380530965</v>
      </c>
      <c r="E71">
        <v>52.19</v>
      </c>
      <c r="F71">
        <v>146.76</v>
      </c>
      <c r="G71">
        <v>155.18663423918792</v>
      </c>
    </row>
    <row r="72" spans="1:7" x14ac:dyDescent="0.2">
      <c r="A72" s="6">
        <v>39903</v>
      </c>
      <c r="B72">
        <v>-2.2599999999999998</v>
      </c>
      <c r="C72">
        <v>-1.0999999999999999</v>
      </c>
      <c r="D72">
        <v>-94.827586206896541</v>
      </c>
      <c r="E72">
        <v>-94.57</v>
      </c>
      <c r="F72">
        <v>146.55000000000001</v>
      </c>
      <c r="G72">
        <v>60.778865295288661</v>
      </c>
    </row>
    <row r="73" spans="1:7" x14ac:dyDescent="0.2">
      <c r="A73" s="6">
        <v>39813</v>
      </c>
      <c r="B73">
        <v>-1.1599999999999999</v>
      </c>
      <c r="C73">
        <v>-1.98</v>
      </c>
      <c r="D73">
        <v>-241.46341463414635</v>
      </c>
      <c r="E73">
        <v>-241.12</v>
      </c>
      <c r="F73">
        <v>-366.94</v>
      </c>
      <c r="G73">
        <v>-291.63884914957879</v>
      </c>
    </row>
    <row r="74" spans="1:7" x14ac:dyDescent="0.2">
      <c r="A74" s="6">
        <v>39721</v>
      </c>
      <c r="B74">
        <v>0.82</v>
      </c>
      <c r="C74">
        <v>0.45999999999999996</v>
      </c>
      <c r="D74">
        <v>127.77777777777779</v>
      </c>
      <c r="E74">
        <v>125.82</v>
      </c>
      <c r="F74">
        <v>-259.51</v>
      </c>
      <c r="G74">
        <v>-67.347468403705918</v>
      </c>
    </row>
    <row r="75" spans="1:7" x14ac:dyDescent="0.2">
      <c r="A75" s="6">
        <v>39629</v>
      </c>
      <c r="B75">
        <v>0.36</v>
      </c>
      <c r="C75">
        <v>0.27999999999999997</v>
      </c>
      <c r="D75">
        <v>349.99999999999994</v>
      </c>
      <c r="E75">
        <v>385.33</v>
      </c>
      <c r="F75">
        <v>428.08</v>
      </c>
      <c r="G75">
        <v>1001.3567251461989</v>
      </c>
    </row>
    <row r="76" spans="1:7" x14ac:dyDescent="0.2">
      <c r="A76" s="6">
        <v>39538</v>
      </c>
      <c r="B76">
        <v>0.08</v>
      </c>
      <c r="C76">
        <v>-0.05</v>
      </c>
      <c r="D76">
        <v>-38.46153846153846</v>
      </c>
      <c r="E76">
        <v>-42.75</v>
      </c>
      <c r="F76">
        <v>22.319999999999993</v>
      </c>
      <c r="G76">
        <v>34.301521438450891</v>
      </c>
    </row>
    <row r="77" spans="1:7" x14ac:dyDescent="0.2">
      <c r="A77" s="6">
        <v>39447</v>
      </c>
      <c r="B77">
        <v>0.13</v>
      </c>
      <c r="C77">
        <v>-0.25</v>
      </c>
      <c r="D77">
        <v>-65.78947368421052</v>
      </c>
      <c r="E77">
        <v>-65.069999999999993</v>
      </c>
      <c r="F77">
        <v>-3.8899999999999935</v>
      </c>
      <c r="G77">
        <v>-6.3582870219025711</v>
      </c>
    </row>
    <row r="78" spans="1:7" x14ac:dyDescent="0.2">
      <c r="A78" s="6">
        <v>39355</v>
      </c>
      <c r="B78">
        <v>0.38</v>
      </c>
      <c r="C78">
        <v>-0.59</v>
      </c>
      <c r="D78">
        <v>-60.824742268041241</v>
      </c>
      <c r="E78">
        <v>-61.18</v>
      </c>
      <c r="F78">
        <v>-112.59</v>
      </c>
      <c r="G78">
        <v>-219.00408480840304</v>
      </c>
    </row>
    <row r="79" spans="1:7" x14ac:dyDescent="0.2">
      <c r="A79" s="6">
        <v>39263</v>
      </c>
      <c r="B79">
        <v>0.97</v>
      </c>
      <c r="C79">
        <v>0.32999999999999996</v>
      </c>
      <c r="D79">
        <v>51.562499999999986</v>
      </c>
      <c r="E79">
        <v>51.41</v>
      </c>
      <c r="F79">
        <v>-8.89</v>
      </c>
      <c r="G79">
        <v>-14.742951907131012</v>
      </c>
    </row>
    <row r="80" spans="1:7" x14ac:dyDescent="0.2">
      <c r="A80" s="6">
        <v>39172</v>
      </c>
      <c r="B80">
        <v>0.64</v>
      </c>
      <c r="C80">
        <v>0.24</v>
      </c>
      <c r="D80">
        <v>60</v>
      </c>
      <c r="E80">
        <v>60.3</v>
      </c>
      <c r="F80">
        <v>19.169999999999995</v>
      </c>
      <c r="G80">
        <v>46.60831509846826</v>
      </c>
    </row>
    <row r="81" spans="1:7" x14ac:dyDescent="0.2">
      <c r="A81" s="6">
        <v>39082</v>
      </c>
      <c r="B81">
        <v>0.4</v>
      </c>
      <c r="C81">
        <v>0.12</v>
      </c>
      <c r="D81">
        <v>42.857142857142854</v>
      </c>
      <c r="E81">
        <v>41.13</v>
      </c>
      <c r="F81">
        <v>-422.87</v>
      </c>
      <c r="G81">
        <v>-91.135775862068968</v>
      </c>
    </row>
    <row r="82" spans="1:7" x14ac:dyDescent="0.2">
      <c r="A82" s="6">
        <v>38990</v>
      </c>
      <c r="B82">
        <v>0.28000000000000003</v>
      </c>
      <c r="C82">
        <v>0.23000000000000004</v>
      </c>
      <c r="D82">
        <v>460.00000000000006</v>
      </c>
      <c r="E82">
        <v>464</v>
      </c>
      <c r="F82">
        <v>557.84</v>
      </c>
      <c r="G82">
        <v>594.4586530264279</v>
      </c>
    </row>
    <row r="83" spans="1:7" x14ac:dyDescent="0.2">
      <c r="A83" s="6">
        <v>38898</v>
      </c>
      <c r="B83">
        <v>0.05</v>
      </c>
      <c r="C83">
        <v>-0.76</v>
      </c>
      <c r="D83">
        <v>-93.827160493827151</v>
      </c>
      <c r="E83">
        <v>-93.84</v>
      </c>
      <c r="F83">
        <v>-75.61</v>
      </c>
      <c r="G83">
        <v>-414.75589687328579</v>
      </c>
    </row>
    <row r="84" spans="1:7" x14ac:dyDescent="0.2">
      <c r="A84" s="6">
        <v>38807</v>
      </c>
      <c r="B84">
        <v>0.81</v>
      </c>
      <c r="C84">
        <v>-0.17999999999999994</v>
      </c>
      <c r="D84">
        <v>-18.181818181818176</v>
      </c>
      <c r="E84">
        <v>-18.23</v>
      </c>
      <c r="F84">
        <v>-0.16000000000000014</v>
      </c>
      <c r="G84">
        <v>-0.8854454897620373</v>
      </c>
    </row>
    <row r="85" spans="1:7" x14ac:dyDescent="0.2">
      <c r="A85" s="6">
        <v>38717</v>
      </c>
      <c r="B85">
        <v>0.99</v>
      </c>
      <c r="C85">
        <v>-0.21999999999999997</v>
      </c>
      <c r="D85">
        <v>-18.18181818181818</v>
      </c>
      <c r="E85">
        <v>-18.07</v>
      </c>
      <c r="F85">
        <v>-85.699999999999989</v>
      </c>
      <c r="G85">
        <v>-126.71891172556556</v>
      </c>
    </row>
    <row r="86" spans="1:7" x14ac:dyDescent="0.2">
      <c r="A86" s="6">
        <v>38625</v>
      </c>
      <c r="B86">
        <v>1.21</v>
      </c>
      <c r="C86">
        <v>0.49</v>
      </c>
      <c r="D86">
        <v>68.055555555555557</v>
      </c>
      <c r="E86">
        <v>67.63</v>
      </c>
      <c r="F86">
        <v>-38.94</v>
      </c>
      <c r="G86">
        <v>-36.539363798442338</v>
      </c>
    </row>
    <row r="87" spans="1:7" x14ac:dyDescent="0.2">
      <c r="A87" s="6">
        <v>38533</v>
      </c>
      <c r="B87">
        <v>0.72</v>
      </c>
      <c r="C87">
        <v>0.37</v>
      </c>
      <c r="D87">
        <v>105.71428571428572</v>
      </c>
      <c r="E87">
        <v>106.57</v>
      </c>
      <c r="F87">
        <v>158.09</v>
      </c>
      <c r="G87">
        <v>306.85170807453414</v>
      </c>
    </row>
    <row r="88" spans="1:7" x14ac:dyDescent="0.2">
      <c r="A88" s="6">
        <v>38442</v>
      </c>
      <c r="B88">
        <v>0.35</v>
      </c>
      <c r="C88">
        <v>-0.37</v>
      </c>
      <c r="D88">
        <v>-51.388888888888893</v>
      </c>
      <c r="E88">
        <v>-51.52</v>
      </c>
      <c r="F88">
        <v>-12.600000000000001</v>
      </c>
      <c r="G88">
        <v>-32.374100719424462</v>
      </c>
    </row>
    <row r="89" spans="1:7" x14ac:dyDescent="0.2">
      <c r="A89" s="6">
        <v>38352</v>
      </c>
      <c r="B89">
        <v>0.72</v>
      </c>
      <c r="C89">
        <v>-0.45999999999999996</v>
      </c>
      <c r="D89">
        <v>-38.983050847457626</v>
      </c>
      <c r="E89">
        <v>-38.92</v>
      </c>
      <c r="F89">
        <v>-38.67</v>
      </c>
      <c r="G89">
        <v>-15468</v>
      </c>
    </row>
    <row r="90" spans="1:7" x14ac:dyDescent="0.2">
      <c r="A90" s="6">
        <v>38260</v>
      </c>
      <c r="B90">
        <v>1.18</v>
      </c>
      <c r="C90">
        <v>-1.0000000000000009E-2</v>
      </c>
      <c r="D90">
        <v>-0.8403361344537823</v>
      </c>
      <c r="E90">
        <v>-0.25</v>
      </c>
      <c r="F90">
        <v>-63.25</v>
      </c>
      <c r="G90">
        <v>-100.39682539682539</v>
      </c>
    </row>
    <row r="91" spans="1:7" x14ac:dyDescent="0.2">
      <c r="A91" s="6">
        <v>38168</v>
      </c>
      <c r="B91">
        <v>1.19</v>
      </c>
      <c r="C91">
        <v>0.45999999999999996</v>
      </c>
      <c r="D91">
        <v>63.013698630136986</v>
      </c>
      <c r="E91">
        <v>63</v>
      </c>
      <c r="F91">
        <v>57.18</v>
      </c>
      <c r="G91">
        <v>982.47422680412365</v>
      </c>
    </row>
    <row r="92" spans="1:7" x14ac:dyDescent="0.2">
      <c r="A92" s="6">
        <v>38077</v>
      </c>
      <c r="B92">
        <v>0.73</v>
      </c>
      <c r="C92">
        <v>4.0000000000000036E-2</v>
      </c>
      <c r="D92">
        <v>5.7971014492753676</v>
      </c>
      <c r="E92">
        <v>5.82</v>
      </c>
      <c r="F92">
        <v>-77.87</v>
      </c>
      <c r="G92">
        <v>-93.045764129525637</v>
      </c>
    </row>
    <row r="93" spans="1:7" x14ac:dyDescent="0.2">
      <c r="A93" s="6">
        <v>37986</v>
      </c>
      <c r="B93">
        <v>0.69</v>
      </c>
      <c r="C93">
        <v>0.31999999999999995</v>
      </c>
      <c r="D93">
        <v>86.486486486486484</v>
      </c>
      <c r="E93">
        <v>83.69</v>
      </c>
      <c r="F93">
        <v>-274.24</v>
      </c>
      <c r="G93">
        <v>-76.61833319364122</v>
      </c>
    </row>
    <row r="94" spans="1:7" x14ac:dyDescent="0.2">
      <c r="A94" s="6">
        <v>37894</v>
      </c>
      <c r="B94">
        <v>0.37</v>
      </c>
      <c r="C94">
        <v>0.51</v>
      </c>
      <c r="D94">
        <v>364.28571428571428</v>
      </c>
      <c r="E94">
        <v>357.93</v>
      </c>
      <c r="F94">
        <v>484.01</v>
      </c>
      <c r="G94">
        <v>383.89118020304568</v>
      </c>
    </row>
    <row r="95" spans="1:7" x14ac:dyDescent="0.2">
      <c r="A95" s="6">
        <v>37802</v>
      </c>
      <c r="B95">
        <v>-0.14000000000000001</v>
      </c>
      <c r="C95">
        <v>-0.70000000000000007</v>
      </c>
      <c r="D95">
        <v>-124.99999999999999</v>
      </c>
      <c r="E95">
        <v>-126.08</v>
      </c>
      <c r="F95">
        <v>-127.36</v>
      </c>
      <c r="G95">
        <v>-9950</v>
      </c>
    </row>
    <row r="96" spans="1:7" x14ac:dyDescent="0.2">
      <c r="A96" s="6">
        <v>37711</v>
      </c>
      <c r="B96">
        <v>0.56000000000000005</v>
      </c>
      <c r="C96">
        <v>1.0000000000000009E-2</v>
      </c>
      <c r="D96">
        <v>1.8181818181818197</v>
      </c>
      <c r="E96">
        <v>1.28</v>
      </c>
      <c r="F96">
        <v>37.81</v>
      </c>
      <c r="G96">
        <v>103.50396934026827</v>
      </c>
    </row>
    <row r="97" spans="1:7" x14ac:dyDescent="0.2">
      <c r="A97" s="6">
        <v>37621</v>
      </c>
      <c r="B97">
        <v>0.55000000000000004</v>
      </c>
      <c r="C97">
        <v>-0.31999999999999995</v>
      </c>
      <c r="D97">
        <v>-36.781609195402297</v>
      </c>
      <c r="E97">
        <v>-36.53</v>
      </c>
      <c r="F97">
        <v>-82.89</v>
      </c>
      <c r="G97">
        <v>-178.79637618636755</v>
      </c>
    </row>
    <row r="98" spans="1:7" x14ac:dyDescent="0.2">
      <c r="A98" s="6">
        <v>37529</v>
      </c>
      <c r="B98">
        <v>0.87</v>
      </c>
      <c r="C98">
        <v>0.28000000000000003</v>
      </c>
      <c r="D98">
        <v>47.457627118644076</v>
      </c>
      <c r="E98">
        <v>46.36</v>
      </c>
      <c r="F98">
        <v>105.94</v>
      </c>
      <c r="G98">
        <v>177.8113460892917</v>
      </c>
    </row>
    <row r="99" spans="1:7" x14ac:dyDescent="0.2">
      <c r="A99" s="6">
        <v>37437</v>
      </c>
      <c r="B99">
        <v>0.59</v>
      </c>
      <c r="C99">
        <v>-0.87</v>
      </c>
      <c r="D99">
        <v>-59.589041095890416</v>
      </c>
      <c r="E99">
        <v>-59.58</v>
      </c>
      <c r="F99">
        <v>-203.25</v>
      </c>
      <c r="G99">
        <v>-141.4700354980163</v>
      </c>
    </row>
    <row r="100" spans="1:7" x14ac:dyDescent="0.2">
      <c r="A100" s="6">
        <v>37346</v>
      </c>
      <c r="B100">
        <v>1.46</v>
      </c>
      <c r="C100">
        <v>0.86</v>
      </c>
      <c r="D100">
        <v>143.33333333333334</v>
      </c>
      <c r="E100">
        <v>143.66999999999999</v>
      </c>
      <c r="F100">
        <v>-813.47</v>
      </c>
      <c r="G100">
        <v>-84.989656685542343</v>
      </c>
    </row>
    <row r="101" spans="1:7" x14ac:dyDescent="0.2">
      <c r="A101" s="6">
        <v>37256</v>
      </c>
      <c r="B101">
        <v>0.6</v>
      </c>
      <c r="C101">
        <v>0.66999999999999993</v>
      </c>
      <c r="D101">
        <v>957.142857142857</v>
      </c>
      <c r="E101">
        <v>957.14</v>
      </c>
      <c r="F101">
        <v>1079.43</v>
      </c>
      <c r="G101">
        <v>882.68051353340411</v>
      </c>
    </row>
    <row r="102" spans="1:7" x14ac:dyDescent="0.2">
      <c r="A102" s="6">
        <v>37164</v>
      </c>
      <c r="B102">
        <v>-7.0000000000000007E-2</v>
      </c>
      <c r="C102">
        <v>-0.38</v>
      </c>
      <c r="D102">
        <v>-122.58064516129032</v>
      </c>
      <c r="E102">
        <v>-122.29</v>
      </c>
      <c r="F102">
        <v>-78.06</v>
      </c>
      <c r="G102">
        <v>-176.48654759213204</v>
      </c>
    </row>
    <row r="103" spans="1:7" x14ac:dyDescent="0.2">
      <c r="A103" s="6">
        <v>37072</v>
      </c>
      <c r="B103">
        <v>0.31</v>
      </c>
      <c r="C103">
        <v>-0.25000000000000006</v>
      </c>
      <c r="D103">
        <v>-44.642857142857153</v>
      </c>
      <c r="E103">
        <v>-44.23</v>
      </c>
      <c r="F103">
        <v>-228.57</v>
      </c>
      <c r="G103">
        <v>-123.99370728002603</v>
      </c>
    </row>
    <row r="104" spans="1:7" x14ac:dyDescent="0.2">
      <c r="A104" s="6">
        <v>36981</v>
      </c>
      <c r="B104">
        <v>0.56000000000000005</v>
      </c>
      <c r="C104">
        <v>0.36000000000000004</v>
      </c>
      <c r="D104">
        <v>180.00000000000003</v>
      </c>
      <c r="E104">
        <v>184.34</v>
      </c>
      <c r="F104">
        <v>265.02</v>
      </c>
      <c r="G104">
        <v>328.48289538919187</v>
      </c>
    </row>
    <row r="105" spans="1:7" x14ac:dyDescent="0.2">
      <c r="A105" s="6">
        <v>36891</v>
      </c>
      <c r="B105">
        <v>0.2</v>
      </c>
      <c r="C105">
        <v>-0.82000000000000006</v>
      </c>
      <c r="D105">
        <v>-80.392156862745097</v>
      </c>
      <c r="E105">
        <v>-80.680000000000007</v>
      </c>
      <c r="F105">
        <v>-67.77000000000001</v>
      </c>
      <c r="G105">
        <v>-524.94190549961274</v>
      </c>
    </row>
    <row r="106" spans="1:7" x14ac:dyDescent="0.2">
      <c r="A106" s="6">
        <v>36799</v>
      </c>
      <c r="B106">
        <v>1.02</v>
      </c>
      <c r="C106">
        <v>-0.15999999999999992</v>
      </c>
      <c r="D106">
        <v>-13.559322033898299</v>
      </c>
      <c r="E106">
        <v>-12.91</v>
      </c>
      <c r="F106">
        <v>11.93</v>
      </c>
      <c r="G106">
        <v>48.027375201288244</v>
      </c>
    </row>
    <row r="107" spans="1:7" x14ac:dyDescent="0.2">
      <c r="A107" s="6">
        <v>36707</v>
      </c>
      <c r="B107">
        <v>1.18</v>
      </c>
      <c r="C107">
        <v>-0.39000000000000012</v>
      </c>
      <c r="D107">
        <v>-24.840764331210199</v>
      </c>
      <c r="E107">
        <v>-24.84</v>
      </c>
      <c r="F107">
        <v>-36.619999999999997</v>
      </c>
      <c r="G107">
        <v>-310.86587436332763</v>
      </c>
    </row>
    <row r="108" spans="1:7" x14ac:dyDescent="0.2">
      <c r="A108" s="6">
        <v>36616</v>
      </c>
      <c r="B108">
        <v>1.57</v>
      </c>
      <c r="C108">
        <v>0.17000000000000015</v>
      </c>
      <c r="D108">
        <v>12.142857142857153</v>
      </c>
      <c r="E108">
        <v>11.78</v>
      </c>
      <c r="F108">
        <v>22.369999999999997</v>
      </c>
      <c r="G108">
        <v>211.23701605288002</v>
      </c>
    </row>
    <row r="109" spans="1:7" x14ac:dyDescent="0.2">
      <c r="A109" s="6">
        <v>36525</v>
      </c>
      <c r="B109">
        <v>1.4</v>
      </c>
      <c r="C109">
        <v>-0.17000000000000015</v>
      </c>
      <c r="D109">
        <v>-10.828025477707016</v>
      </c>
      <c r="E109">
        <v>-10.59</v>
      </c>
      <c r="F109">
        <v>-100.53</v>
      </c>
      <c r="G109">
        <v>-111.77451634422948</v>
      </c>
    </row>
    <row r="110" spans="1:7" x14ac:dyDescent="0.2">
      <c r="A110" s="6">
        <v>36433</v>
      </c>
      <c r="B110">
        <v>1.57</v>
      </c>
      <c r="C110">
        <v>0.7400000000000001</v>
      </c>
      <c r="D110">
        <v>89.156626506024111</v>
      </c>
      <c r="E110">
        <v>89.94</v>
      </c>
      <c r="F110">
        <v>144.26</v>
      </c>
      <c r="G110">
        <v>265.5743740795287</v>
      </c>
    </row>
    <row r="111" spans="1:7" x14ac:dyDescent="0.2">
      <c r="A111" s="6">
        <v>36341</v>
      </c>
      <c r="B111">
        <v>0.83</v>
      </c>
      <c r="C111">
        <v>-0.98000000000000009</v>
      </c>
      <c r="D111">
        <v>-54.143646408839786</v>
      </c>
      <c r="E111">
        <v>-54.32</v>
      </c>
      <c r="F111">
        <v>-87.6</v>
      </c>
      <c r="G111">
        <v>-263.22115384615381</v>
      </c>
    </row>
    <row r="112" spans="1:7" x14ac:dyDescent="0.2">
      <c r="A112" s="6">
        <v>36250</v>
      </c>
      <c r="B112">
        <v>1.81</v>
      </c>
      <c r="C112">
        <v>0.44999999999999996</v>
      </c>
      <c r="D112">
        <v>33.088235294117638</v>
      </c>
      <c r="E112">
        <v>33.28</v>
      </c>
      <c r="F112">
        <v>-15.46</v>
      </c>
      <c r="G112">
        <v>-31.719327041444398</v>
      </c>
    </row>
    <row r="113" spans="1:7" x14ac:dyDescent="0.2">
      <c r="A113" s="6">
        <v>36160</v>
      </c>
      <c r="B113">
        <v>1.36</v>
      </c>
      <c r="C113">
        <v>0.45000000000000007</v>
      </c>
      <c r="D113">
        <v>49.45054945054946</v>
      </c>
      <c r="E113">
        <v>48.74</v>
      </c>
      <c r="F113">
        <v>-1570.1299999999999</v>
      </c>
      <c r="G113">
        <v>-96.989257939179808</v>
      </c>
    </row>
    <row r="114" spans="1:7" x14ac:dyDescent="0.2">
      <c r="A114" s="6">
        <v>36068</v>
      </c>
      <c r="B114">
        <v>0.91</v>
      </c>
      <c r="C114">
        <v>0.86</v>
      </c>
      <c r="D114">
        <v>1720</v>
      </c>
      <c r="E114">
        <v>1618.87</v>
      </c>
      <c r="F114">
        <v>1715.12</v>
      </c>
      <c r="G114">
        <v>1781.9428571428571</v>
      </c>
    </row>
    <row r="115" spans="1:7" x14ac:dyDescent="0.2">
      <c r="A115" s="6">
        <v>35976</v>
      </c>
      <c r="B115">
        <v>0.05</v>
      </c>
      <c r="C115">
        <v>-1.3599999999999999</v>
      </c>
      <c r="D115">
        <v>-96.453900709219866</v>
      </c>
      <c r="E115">
        <v>-96.25</v>
      </c>
      <c r="F115">
        <v>-142.42000000000002</v>
      </c>
      <c r="G115">
        <v>-308.46870262074941</v>
      </c>
    </row>
    <row r="116" spans="1:7" x14ac:dyDescent="0.2">
      <c r="A116" s="6">
        <v>35885</v>
      </c>
      <c r="B116">
        <v>1.41</v>
      </c>
      <c r="C116">
        <v>0.43999999999999995</v>
      </c>
      <c r="D116">
        <v>45.360824742268036</v>
      </c>
      <c r="E116">
        <v>46.17</v>
      </c>
      <c r="F116">
        <v>64.72</v>
      </c>
      <c r="G116">
        <v>348.89487870619945</v>
      </c>
    </row>
    <row r="117" spans="1:7" x14ac:dyDescent="0.2">
      <c r="A117" s="6">
        <v>35795</v>
      </c>
      <c r="B117">
        <v>0.97</v>
      </c>
      <c r="C117">
        <v>-0.21999999999999997</v>
      </c>
      <c r="D117">
        <v>-18.487394957983192</v>
      </c>
      <c r="E117">
        <v>-18.55</v>
      </c>
      <c r="F117">
        <v>-23.97</v>
      </c>
      <c r="G117">
        <v>-442.25092250922512</v>
      </c>
    </row>
    <row r="118" spans="1:7" x14ac:dyDescent="0.2">
      <c r="A118" s="6">
        <v>35703</v>
      </c>
      <c r="B118">
        <v>1.19</v>
      </c>
      <c r="C118">
        <v>6.0000000000000053E-2</v>
      </c>
      <c r="D118">
        <v>5.3097345132743419</v>
      </c>
      <c r="E118">
        <v>5.42</v>
      </c>
      <c r="F118">
        <v>21.46</v>
      </c>
      <c r="G118">
        <v>133.79052369077309</v>
      </c>
    </row>
    <row r="119" spans="1:7" x14ac:dyDescent="0.2">
      <c r="A119" s="6">
        <v>35611</v>
      </c>
      <c r="B119">
        <v>1.1299999999999999</v>
      </c>
      <c r="C119">
        <v>-0.21000000000000019</v>
      </c>
      <c r="D119">
        <v>-15.671641791044788</v>
      </c>
      <c r="E119">
        <v>-16.04</v>
      </c>
      <c r="F119">
        <v>-85.22999999999999</v>
      </c>
      <c r="G119">
        <v>-123.18254082959963</v>
      </c>
    </row>
    <row r="120" spans="1:7" x14ac:dyDescent="0.2">
      <c r="A120" s="6">
        <v>35520</v>
      </c>
      <c r="B120">
        <v>1.34</v>
      </c>
      <c r="C120">
        <v>0.55000000000000004</v>
      </c>
      <c r="D120">
        <v>69.620253164556971</v>
      </c>
      <c r="E120">
        <v>69.19</v>
      </c>
      <c r="F120">
        <v>74.899999999999991</v>
      </c>
      <c r="G120">
        <v>1311.7338003502625</v>
      </c>
    </row>
    <row r="121" spans="1:7" x14ac:dyDescent="0.2">
      <c r="A121" s="6">
        <v>35430</v>
      </c>
      <c r="B121">
        <v>0.79</v>
      </c>
      <c r="C121">
        <v>-4.9999999999999933E-2</v>
      </c>
      <c r="D121">
        <v>-5.9523809523809446</v>
      </c>
      <c r="E121">
        <v>-5.71</v>
      </c>
      <c r="F121">
        <v>-23.69</v>
      </c>
      <c r="G121">
        <v>-131.75750834260288</v>
      </c>
    </row>
    <row r="122" spans="1:7" x14ac:dyDescent="0.2">
      <c r="A122" s="6">
        <v>35338</v>
      </c>
      <c r="B122">
        <v>0.84</v>
      </c>
      <c r="C122">
        <v>0.13</v>
      </c>
      <c r="D122">
        <v>18.30985915492958</v>
      </c>
      <c r="E122">
        <v>17.98</v>
      </c>
      <c r="F122">
        <v>-373.04999999999995</v>
      </c>
      <c r="G122">
        <v>-95.401887323223264</v>
      </c>
    </row>
    <row r="123" spans="1:7" x14ac:dyDescent="0.2">
      <c r="A123" s="6">
        <v>35246</v>
      </c>
      <c r="B123">
        <v>0.71</v>
      </c>
      <c r="C123">
        <v>0.56999999999999995</v>
      </c>
      <c r="D123">
        <v>407.14285714285705</v>
      </c>
      <c r="E123">
        <v>391.03</v>
      </c>
      <c r="F123">
        <v>455.14</v>
      </c>
      <c r="G123">
        <v>709.93604741849947</v>
      </c>
    </row>
    <row r="124" spans="1:7" x14ac:dyDescent="0.2">
      <c r="A124" s="6">
        <v>35155</v>
      </c>
      <c r="B124">
        <v>0.14000000000000001</v>
      </c>
      <c r="C124">
        <v>-0.26</v>
      </c>
      <c r="D124">
        <v>-65</v>
      </c>
      <c r="E124">
        <v>-64.11</v>
      </c>
      <c r="F124">
        <v>-270.17</v>
      </c>
      <c r="G124">
        <v>-131.11229738910995</v>
      </c>
    </row>
    <row r="125" spans="1:7" x14ac:dyDescent="0.2">
      <c r="A125" s="6">
        <v>35064</v>
      </c>
      <c r="B125">
        <v>0.4</v>
      </c>
      <c r="E125">
        <v>206.06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855F-9398-41D4-A6AF-ECA8594C00BA}">
  <dimension ref="A1:H64"/>
  <sheetViews>
    <sheetView workbookViewId="0">
      <selection activeCell="H4" sqref="H4"/>
    </sheetView>
  </sheetViews>
  <sheetFormatPr baseColWidth="10" defaultColWidth="8.83203125" defaultRowHeight="15" outlineLevelCol="1" x14ac:dyDescent="0.2"/>
  <cols>
    <col min="1" max="1" width="12" customWidth="1"/>
    <col min="2" max="2" width="16" bestFit="1" customWidth="1"/>
    <col min="3" max="7" width="9.1640625" hidden="1" customWidth="1" outlineLevel="1"/>
    <col min="8" max="8" width="9.1640625" collapsed="1"/>
  </cols>
  <sheetData>
    <row r="1" spans="1:8" x14ac:dyDescent="0.2">
      <c r="A1" t="s">
        <v>0</v>
      </c>
      <c r="B1" t="s">
        <v>20</v>
      </c>
    </row>
    <row r="2" spans="1:8" x14ac:dyDescent="0.2">
      <c r="A2" t="s">
        <v>2</v>
      </c>
      <c r="B2" s="5">
        <v>40633</v>
      </c>
    </row>
    <row r="3" spans="1:8" x14ac:dyDescent="0.2">
      <c r="A3" t="s">
        <v>3</v>
      </c>
      <c r="B3" s="5">
        <v>45838</v>
      </c>
    </row>
    <row r="4" spans="1:8" x14ac:dyDescent="0.2">
      <c r="A4" t="s">
        <v>4</v>
      </c>
      <c r="B4" t="s">
        <v>19</v>
      </c>
      <c r="H4" t="s">
        <v>50</v>
      </c>
    </row>
    <row r="6" spans="1:8" x14ac:dyDescent="0.2">
      <c r="A6" t="s">
        <v>6</v>
      </c>
      <c r="B6" t="s">
        <v>49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45838</v>
      </c>
      <c r="B7">
        <v>23651</v>
      </c>
      <c r="C7">
        <v>-3653</v>
      </c>
      <c r="D7">
        <v>-13.378992089071199</v>
      </c>
      <c r="E7">
        <v>-13.4</v>
      </c>
      <c r="F7">
        <v>-5.9</v>
      </c>
      <c r="G7">
        <v>-78.666666666666671</v>
      </c>
    </row>
    <row r="8" spans="1:8" x14ac:dyDescent="0.2">
      <c r="A8" s="6">
        <v>45747</v>
      </c>
      <c r="B8">
        <v>27304</v>
      </c>
      <c r="C8">
        <v>-2211</v>
      </c>
      <c r="D8">
        <v>-7.4911062171777063</v>
      </c>
      <c r="E8">
        <v>-7.5</v>
      </c>
      <c r="F8">
        <v>-28.8</v>
      </c>
      <c r="G8">
        <v>-135.21126760563379</v>
      </c>
    </row>
    <row r="9" spans="1:8" x14ac:dyDescent="0.2">
      <c r="A9" s="6">
        <v>45657</v>
      </c>
      <c r="B9">
        <v>29515</v>
      </c>
      <c r="C9">
        <v>5183</v>
      </c>
      <c r="D9">
        <v>21.301167187243138</v>
      </c>
      <c r="E9">
        <v>21.3</v>
      </c>
      <c r="F9">
        <v>9.5</v>
      </c>
      <c r="G9">
        <v>80.508474576271183</v>
      </c>
    </row>
    <row r="10" spans="1:8" x14ac:dyDescent="0.2">
      <c r="A10" s="6">
        <v>45565</v>
      </c>
      <c r="B10">
        <v>24332</v>
      </c>
      <c r="C10">
        <v>2567</v>
      </c>
      <c r="D10">
        <v>11.794164943716977</v>
      </c>
      <c r="E10">
        <v>11.8</v>
      </c>
      <c r="F10">
        <v>10.700000000000001</v>
      </c>
      <c r="G10">
        <v>972.72727272727263</v>
      </c>
    </row>
    <row r="11" spans="1:8" x14ac:dyDescent="0.2">
      <c r="A11" s="6">
        <v>45471</v>
      </c>
      <c r="B11">
        <v>21765</v>
      </c>
      <c r="C11">
        <v>247</v>
      </c>
      <c r="D11">
        <v>1.1478761966725533</v>
      </c>
      <c r="E11">
        <v>1.1000000000000001</v>
      </c>
      <c r="F11">
        <v>-17.399999999999999</v>
      </c>
      <c r="G11">
        <v>-94.054054054054035</v>
      </c>
    </row>
    <row r="12" spans="1:8" x14ac:dyDescent="0.2">
      <c r="A12" s="6">
        <v>45380</v>
      </c>
      <c r="B12">
        <v>21518</v>
      </c>
      <c r="C12">
        <v>3364</v>
      </c>
      <c r="D12">
        <v>18.530351437699679</v>
      </c>
      <c r="E12">
        <v>18.5</v>
      </c>
      <c r="F12">
        <v>39.6</v>
      </c>
      <c r="G12">
        <v>187.67772511848341</v>
      </c>
    </row>
    <row r="13" spans="1:8" x14ac:dyDescent="0.2">
      <c r="A13" s="6">
        <v>45289</v>
      </c>
      <c r="B13">
        <v>18154</v>
      </c>
      <c r="C13">
        <v>-4851</v>
      </c>
      <c r="D13">
        <v>-21.086720278200392</v>
      </c>
      <c r="E13">
        <v>-21.1</v>
      </c>
      <c r="F13">
        <v>-16</v>
      </c>
      <c r="G13">
        <v>-313.72549019607845</v>
      </c>
    </row>
    <row r="14" spans="1:8" x14ac:dyDescent="0.2">
      <c r="A14" s="6">
        <v>45198</v>
      </c>
      <c r="B14">
        <v>23005</v>
      </c>
      <c r="C14">
        <v>-1239</v>
      </c>
      <c r="D14">
        <v>-5.1105428147170437</v>
      </c>
      <c r="E14">
        <v>-5.0999999999999996</v>
      </c>
      <c r="F14">
        <v>-13.1</v>
      </c>
      <c r="G14">
        <v>-163.75</v>
      </c>
    </row>
    <row r="15" spans="1:8" x14ac:dyDescent="0.2">
      <c r="A15" s="6">
        <v>45107</v>
      </c>
      <c r="B15">
        <v>24244</v>
      </c>
      <c r="C15">
        <v>1796</v>
      </c>
      <c r="D15">
        <v>8.0007127583749114</v>
      </c>
      <c r="E15">
        <v>8</v>
      </c>
      <c r="F15">
        <v>-3.1999999999999993</v>
      </c>
      <c r="G15">
        <v>-28.571428571428569</v>
      </c>
    </row>
    <row r="16" spans="1:8" x14ac:dyDescent="0.2">
      <c r="A16" s="6">
        <v>45016</v>
      </c>
      <c r="B16">
        <v>22448</v>
      </c>
      <c r="C16">
        <v>2267</v>
      </c>
      <c r="D16">
        <v>11.233338288489174</v>
      </c>
      <c r="E16">
        <v>11.2</v>
      </c>
      <c r="F16">
        <v>15.799999999999999</v>
      </c>
      <c r="G16">
        <v>343.47826086956525</v>
      </c>
    </row>
    <row r="17" spans="1:7" x14ac:dyDescent="0.2">
      <c r="A17" s="6">
        <v>44925</v>
      </c>
      <c r="B17">
        <v>20181</v>
      </c>
      <c r="C17">
        <v>-979</v>
      </c>
      <c r="D17">
        <v>-4.6266540642722118</v>
      </c>
      <c r="E17">
        <v>-4.5999999999999996</v>
      </c>
      <c r="F17">
        <v>14.500000000000002</v>
      </c>
      <c r="G17">
        <v>75.916230366492158</v>
      </c>
    </row>
    <row r="18" spans="1:7" x14ac:dyDescent="0.2">
      <c r="A18" s="6">
        <v>44834</v>
      </c>
      <c r="B18">
        <v>21160</v>
      </c>
      <c r="C18">
        <v>-4986</v>
      </c>
      <c r="D18">
        <v>-19.069838598638416</v>
      </c>
      <c r="E18">
        <v>-19.100000000000001</v>
      </c>
      <c r="F18">
        <v>-29.8</v>
      </c>
      <c r="G18">
        <v>-278.50467289719626</v>
      </c>
    </row>
    <row r="19" spans="1:7" x14ac:dyDescent="0.2">
      <c r="A19" s="6">
        <v>44742</v>
      </c>
      <c r="B19">
        <v>26146</v>
      </c>
      <c r="C19">
        <v>2523</v>
      </c>
      <c r="D19">
        <v>10.680269229141091</v>
      </c>
      <c r="E19">
        <v>10.7</v>
      </c>
      <c r="F19">
        <v>22.5</v>
      </c>
      <c r="G19">
        <v>190.67796610169489</v>
      </c>
    </row>
    <row r="20" spans="1:7" x14ac:dyDescent="0.2">
      <c r="A20" s="6">
        <v>44651</v>
      </c>
      <c r="B20">
        <v>23623</v>
      </c>
      <c r="C20">
        <v>-3170</v>
      </c>
      <c r="D20">
        <v>-11.831448512671219</v>
      </c>
      <c r="E20">
        <v>-11.8</v>
      </c>
      <c r="F20">
        <v>-17</v>
      </c>
      <c r="G20">
        <v>-326.92307692307691</v>
      </c>
    </row>
    <row r="21" spans="1:7" x14ac:dyDescent="0.2">
      <c r="A21" s="6">
        <v>44561</v>
      </c>
      <c r="B21">
        <v>26793</v>
      </c>
      <c r="C21">
        <v>1313</v>
      </c>
      <c r="D21">
        <v>5.1530612244897958</v>
      </c>
      <c r="E21">
        <v>5.2</v>
      </c>
      <c r="F21">
        <v>-0.39999999999999947</v>
      </c>
      <c r="G21">
        <v>-7.1428571428571335</v>
      </c>
    </row>
    <row r="22" spans="1:7" x14ac:dyDescent="0.2">
      <c r="A22" s="6">
        <v>44469</v>
      </c>
      <c r="B22">
        <v>25480</v>
      </c>
      <c r="C22">
        <v>1343</v>
      </c>
      <c r="D22">
        <v>5.5640717570534868</v>
      </c>
      <c r="E22">
        <v>5.6</v>
      </c>
      <c r="F22">
        <v>21.9</v>
      </c>
      <c r="G22">
        <v>134.35582822085888</v>
      </c>
    </row>
    <row r="23" spans="1:7" x14ac:dyDescent="0.2">
      <c r="A23" s="6">
        <v>44377</v>
      </c>
      <c r="B23">
        <v>24137</v>
      </c>
      <c r="C23">
        <v>-4693</v>
      </c>
      <c r="D23">
        <v>-16.278182448838017</v>
      </c>
      <c r="E23">
        <v>-16.3</v>
      </c>
      <c r="F23">
        <v>-35.200000000000003</v>
      </c>
      <c r="G23">
        <v>-186.24338624338628</v>
      </c>
    </row>
    <row r="24" spans="1:7" x14ac:dyDescent="0.2">
      <c r="A24" s="6">
        <v>44286</v>
      </c>
      <c r="B24">
        <v>28830</v>
      </c>
      <c r="C24">
        <v>4588</v>
      </c>
      <c r="D24">
        <v>18.925831202046037</v>
      </c>
      <c r="E24">
        <v>18.899999999999999</v>
      </c>
      <c r="F24">
        <v>18.2</v>
      </c>
      <c r="G24">
        <v>2600</v>
      </c>
    </row>
    <row r="25" spans="1:7" x14ac:dyDescent="0.2">
      <c r="A25" s="6">
        <v>44196</v>
      </c>
      <c r="B25">
        <v>24242</v>
      </c>
      <c r="C25">
        <v>167</v>
      </c>
      <c r="D25">
        <v>0.6936656282450675</v>
      </c>
      <c r="E25">
        <v>0.7</v>
      </c>
      <c r="F25">
        <v>-19.600000000000001</v>
      </c>
      <c r="G25">
        <v>-96.551724137931046</v>
      </c>
    </row>
    <row r="26" spans="1:7" x14ac:dyDescent="0.2">
      <c r="A26" s="6">
        <v>44104</v>
      </c>
      <c r="B26">
        <v>24075</v>
      </c>
      <c r="C26">
        <v>4058</v>
      </c>
      <c r="D26">
        <v>20.272768147074988</v>
      </c>
      <c r="E26">
        <v>20.3</v>
      </c>
      <c r="F26">
        <v>6.8000000000000007</v>
      </c>
      <c r="G26">
        <v>50.370370370370381</v>
      </c>
    </row>
    <row r="27" spans="1:7" x14ac:dyDescent="0.2">
      <c r="A27" s="6">
        <v>44012</v>
      </c>
      <c r="B27">
        <v>20017</v>
      </c>
      <c r="C27">
        <v>2376</v>
      </c>
      <c r="D27">
        <v>13.468624227651494</v>
      </c>
      <c r="E27">
        <v>13.5</v>
      </c>
      <c r="F27">
        <v>20.3</v>
      </c>
      <c r="G27">
        <v>298.52941176470591</v>
      </c>
    </row>
    <row r="28" spans="1:7" x14ac:dyDescent="0.2">
      <c r="A28" s="6">
        <v>43921</v>
      </c>
      <c r="B28">
        <v>17641</v>
      </c>
      <c r="C28">
        <v>-1283</v>
      </c>
      <c r="D28">
        <v>-6.7797505812724586</v>
      </c>
      <c r="E28">
        <v>-6.8</v>
      </c>
      <c r="F28">
        <v>-6.3</v>
      </c>
      <c r="G28">
        <v>-1260</v>
      </c>
    </row>
    <row r="29" spans="1:7" x14ac:dyDescent="0.2">
      <c r="A29" s="6">
        <v>43830</v>
      </c>
      <c r="B29">
        <v>18924</v>
      </c>
      <c r="C29">
        <v>-104</v>
      </c>
      <c r="D29">
        <v>-0.54656295984864411</v>
      </c>
      <c r="E29">
        <v>-0.5</v>
      </c>
      <c r="F29">
        <v>-2.2999999999999998</v>
      </c>
      <c r="G29">
        <v>-127.77777777777776</v>
      </c>
    </row>
    <row r="30" spans="1:7" x14ac:dyDescent="0.2">
      <c r="A30" s="6">
        <v>43738</v>
      </c>
      <c r="B30">
        <v>19028</v>
      </c>
      <c r="C30">
        <v>333</v>
      </c>
      <c r="D30">
        <v>1.7812249264509228</v>
      </c>
      <c r="E30">
        <v>1.8</v>
      </c>
      <c r="F30">
        <v>-1.8</v>
      </c>
      <c r="G30">
        <v>-50</v>
      </c>
    </row>
    <row r="31" spans="1:7" x14ac:dyDescent="0.2">
      <c r="A31" s="6">
        <v>43644</v>
      </c>
      <c r="B31">
        <v>18695</v>
      </c>
      <c r="C31">
        <v>641</v>
      </c>
      <c r="D31">
        <v>3.5504597319153652</v>
      </c>
      <c r="E31">
        <v>3.6</v>
      </c>
      <c r="F31">
        <v>13.799999999999999</v>
      </c>
      <c r="G31">
        <v>135.29411764705884</v>
      </c>
    </row>
    <row r="32" spans="1:7" x14ac:dyDescent="0.2">
      <c r="A32" s="6">
        <v>43553</v>
      </c>
      <c r="B32">
        <v>18054</v>
      </c>
      <c r="C32">
        <v>-2057</v>
      </c>
      <c r="D32">
        <v>-10.228233305156381</v>
      </c>
      <c r="E32">
        <v>-10.199999999999999</v>
      </c>
      <c r="F32">
        <v>-13.6</v>
      </c>
      <c r="G32">
        <v>-400</v>
      </c>
    </row>
    <row r="33" spans="1:7" x14ac:dyDescent="0.2">
      <c r="A33" s="6">
        <v>43465</v>
      </c>
      <c r="B33">
        <v>20111</v>
      </c>
      <c r="C33">
        <v>670</v>
      </c>
      <c r="D33">
        <v>3.4463247775320198</v>
      </c>
      <c r="E33">
        <v>3.4</v>
      </c>
      <c r="F33">
        <v>8.1999999999999993</v>
      </c>
      <c r="G33">
        <v>170.83333333333331</v>
      </c>
    </row>
    <row r="34" spans="1:7" x14ac:dyDescent="0.2">
      <c r="A34" s="6">
        <v>43371</v>
      </c>
      <c r="B34">
        <v>19441</v>
      </c>
      <c r="C34">
        <v>-988</v>
      </c>
      <c r="D34">
        <v>-4.8362621763179794</v>
      </c>
      <c r="E34">
        <v>-4.8</v>
      </c>
      <c r="F34">
        <v>-7.6</v>
      </c>
      <c r="G34">
        <v>-271.42857142857144</v>
      </c>
    </row>
    <row r="35" spans="1:7" x14ac:dyDescent="0.2">
      <c r="A35" s="6">
        <v>43280</v>
      </c>
      <c r="B35">
        <v>20429</v>
      </c>
      <c r="C35">
        <v>560</v>
      </c>
      <c r="D35">
        <v>2.8184609190195782</v>
      </c>
      <c r="E35">
        <v>2.8</v>
      </c>
      <c r="F35">
        <v>-7.1000000000000005</v>
      </c>
      <c r="G35">
        <v>-71.717171717171709</v>
      </c>
    </row>
    <row r="36" spans="1:7" x14ac:dyDescent="0.2">
      <c r="A36" s="6">
        <v>43189</v>
      </c>
      <c r="B36">
        <v>19869</v>
      </c>
      <c r="C36">
        <v>1796</v>
      </c>
      <c r="D36">
        <v>9.9374757926188231</v>
      </c>
      <c r="E36">
        <v>9.9</v>
      </c>
      <c r="F36">
        <v>7.5</v>
      </c>
      <c r="G36">
        <v>312.5</v>
      </c>
    </row>
    <row r="37" spans="1:7" x14ac:dyDescent="0.2">
      <c r="A37" s="6">
        <v>43098</v>
      </c>
      <c r="B37">
        <v>18073</v>
      </c>
      <c r="C37">
        <v>426</v>
      </c>
      <c r="D37">
        <v>2.414008046693489</v>
      </c>
      <c r="E37">
        <v>2.4</v>
      </c>
      <c r="F37">
        <v>14.3</v>
      </c>
      <c r="G37">
        <v>120.16806722689076</v>
      </c>
    </row>
    <row r="38" spans="1:7" x14ac:dyDescent="0.2">
      <c r="A38" s="6">
        <v>43007</v>
      </c>
      <c r="B38">
        <v>17647</v>
      </c>
      <c r="C38">
        <v>-2390</v>
      </c>
      <c r="D38">
        <v>-11.9279333233518</v>
      </c>
      <c r="E38">
        <v>-11.9</v>
      </c>
      <c r="F38">
        <v>-22.700000000000003</v>
      </c>
      <c r="G38">
        <v>-210.18518518518522</v>
      </c>
    </row>
    <row r="39" spans="1:7" x14ac:dyDescent="0.2">
      <c r="A39" s="6">
        <v>42916</v>
      </c>
      <c r="B39">
        <v>20037</v>
      </c>
      <c r="C39">
        <v>1947</v>
      </c>
      <c r="D39">
        <v>10.76285240464345</v>
      </c>
      <c r="E39">
        <v>10.8</v>
      </c>
      <c r="F39">
        <v>17.8</v>
      </c>
      <c r="G39">
        <v>254.28571428571428</v>
      </c>
    </row>
    <row r="40" spans="1:7" x14ac:dyDescent="0.2">
      <c r="A40" s="6">
        <v>42825</v>
      </c>
      <c r="B40">
        <v>18090</v>
      </c>
      <c r="C40">
        <v>-1366</v>
      </c>
      <c r="D40">
        <v>-7.0209703947368425</v>
      </c>
      <c r="E40">
        <v>-7</v>
      </c>
      <c r="F40">
        <v>-13.2</v>
      </c>
      <c r="G40">
        <v>-212.90322580645162</v>
      </c>
    </row>
    <row r="41" spans="1:7" x14ac:dyDescent="0.2">
      <c r="A41" s="6">
        <v>42734</v>
      </c>
      <c r="B41">
        <v>19456</v>
      </c>
      <c r="C41">
        <v>1129</v>
      </c>
      <c r="D41">
        <v>6.1603099252469038</v>
      </c>
      <c r="E41">
        <v>6.2</v>
      </c>
      <c r="F41">
        <v>-15.5</v>
      </c>
      <c r="G41">
        <v>-71.428571428571431</v>
      </c>
    </row>
    <row r="42" spans="1:7" x14ac:dyDescent="0.2">
      <c r="A42" s="6">
        <v>42643</v>
      </c>
      <c r="B42">
        <v>18327</v>
      </c>
      <c r="C42">
        <v>3262</v>
      </c>
      <c r="D42">
        <v>21.652837703285762</v>
      </c>
      <c r="E42">
        <v>21.7</v>
      </c>
      <c r="F42">
        <v>28.6</v>
      </c>
      <c r="G42">
        <v>414.49275362318838</v>
      </c>
    </row>
    <row r="43" spans="1:7" x14ac:dyDescent="0.2">
      <c r="A43" s="6">
        <v>42551</v>
      </c>
      <c r="B43">
        <v>15065</v>
      </c>
      <c r="C43">
        <v>-1113</v>
      </c>
      <c r="D43">
        <v>-6.8797131907528746</v>
      </c>
      <c r="E43">
        <v>-6.9</v>
      </c>
      <c r="F43">
        <v>1.9000000000000004</v>
      </c>
      <c r="G43">
        <v>21.590909090909093</v>
      </c>
    </row>
    <row r="44" spans="1:7" x14ac:dyDescent="0.2">
      <c r="A44" s="6">
        <v>42460</v>
      </c>
      <c r="B44">
        <v>16178</v>
      </c>
      <c r="C44">
        <v>-1553</v>
      </c>
      <c r="D44">
        <v>-8.7586712537363933</v>
      </c>
      <c r="E44">
        <v>-8.8000000000000007</v>
      </c>
      <c r="F44">
        <v>-14.700000000000001</v>
      </c>
      <c r="G44">
        <v>-249.15254237288133</v>
      </c>
    </row>
    <row r="45" spans="1:7" x14ac:dyDescent="0.2">
      <c r="A45" s="6">
        <v>42369</v>
      </c>
      <c r="B45">
        <v>17731</v>
      </c>
      <c r="C45">
        <v>982</v>
      </c>
      <c r="D45">
        <v>5.863036599199952</v>
      </c>
      <c r="E45">
        <v>5.9</v>
      </c>
      <c r="F45">
        <v>11.9</v>
      </c>
      <c r="G45">
        <v>198.33333333333334</v>
      </c>
    </row>
    <row r="46" spans="1:7" x14ac:dyDescent="0.2">
      <c r="A46" s="6">
        <v>42277</v>
      </c>
      <c r="B46">
        <v>16749</v>
      </c>
      <c r="C46">
        <v>-1073</v>
      </c>
      <c r="D46">
        <v>-6.0206486365166647</v>
      </c>
      <c r="E46">
        <v>-6</v>
      </c>
      <c r="F46">
        <v>-4.0999999999999996</v>
      </c>
      <c r="G46">
        <v>-215.78947368421052</v>
      </c>
    </row>
    <row r="47" spans="1:7" x14ac:dyDescent="0.2">
      <c r="A47" s="6">
        <v>42185</v>
      </c>
      <c r="B47">
        <v>17822</v>
      </c>
      <c r="C47">
        <v>-340</v>
      </c>
      <c r="D47">
        <v>-1.8720405241713467</v>
      </c>
      <c r="E47">
        <v>-1.9</v>
      </c>
      <c r="F47">
        <v>-11.700000000000001</v>
      </c>
      <c r="G47">
        <v>-119.38775510204081</v>
      </c>
    </row>
    <row r="48" spans="1:7" x14ac:dyDescent="0.2">
      <c r="A48" s="6">
        <v>42094</v>
      </c>
      <c r="B48">
        <v>18162</v>
      </c>
      <c r="C48">
        <v>1618</v>
      </c>
      <c r="D48">
        <v>9.7799806576402322</v>
      </c>
      <c r="E48">
        <v>9.8000000000000007</v>
      </c>
      <c r="F48">
        <v>17.8</v>
      </c>
      <c r="G48">
        <v>222.5</v>
      </c>
    </row>
    <row r="49" spans="1:7" x14ac:dyDescent="0.2">
      <c r="A49" s="6">
        <v>42004</v>
      </c>
      <c r="B49">
        <v>16544</v>
      </c>
      <c r="C49">
        <v>-1442</v>
      </c>
      <c r="D49">
        <v>-8.0173468253085733</v>
      </c>
      <c r="E49">
        <v>-8</v>
      </c>
      <c r="F49">
        <v>-15</v>
      </c>
      <c r="G49">
        <v>-214.28571428571428</v>
      </c>
    </row>
    <row r="50" spans="1:7" x14ac:dyDescent="0.2">
      <c r="A50" s="6">
        <v>41912</v>
      </c>
      <c r="B50">
        <v>17986</v>
      </c>
      <c r="C50">
        <v>1179</v>
      </c>
      <c r="D50">
        <v>7.0149342535848156</v>
      </c>
      <c r="E50">
        <v>7</v>
      </c>
      <c r="F50">
        <v>5</v>
      </c>
      <c r="G50">
        <v>250</v>
      </c>
    </row>
    <row r="51" spans="1:7" x14ac:dyDescent="0.2">
      <c r="A51" s="6">
        <v>41820</v>
      </c>
      <c r="B51">
        <v>16807</v>
      </c>
      <c r="C51">
        <v>327</v>
      </c>
      <c r="D51">
        <v>1.9842233009708738</v>
      </c>
      <c r="E51">
        <v>2</v>
      </c>
      <c r="F51">
        <v>2.1</v>
      </c>
      <c r="G51">
        <v>2100</v>
      </c>
    </row>
    <row r="52" spans="1:7" x14ac:dyDescent="0.2">
      <c r="A52" s="6">
        <v>41729</v>
      </c>
      <c r="B52">
        <v>16480</v>
      </c>
      <c r="C52">
        <v>-16</v>
      </c>
      <c r="D52">
        <v>-9.6993210475266725E-2</v>
      </c>
      <c r="E52">
        <v>-0.1</v>
      </c>
      <c r="F52">
        <v>5</v>
      </c>
      <c r="G52">
        <v>98.039215686274517</v>
      </c>
    </row>
    <row r="53" spans="1:7" x14ac:dyDescent="0.2">
      <c r="A53" s="6">
        <v>41639</v>
      </c>
      <c r="B53">
        <v>16496</v>
      </c>
      <c r="C53">
        <v>-890</v>
      </c>
      <c r="D53">
        <v>-5.1190613137006791</v>
      </c>
      <c r="E53">
        <v>-5.0999999999999996</v>
      </c>
      <c r="F53">
        <v>-5.8999999999999995</v>
      </c>
      <c r="G53">
        <v>-737.5</v>
      </c>
    </row>
    <row r="54" spans="1:7" x14ac:dyDescent="0.2">
      <c r="A54" s="6">
        <v>41547</v>
      </c>
      <c r="B54">
        <v>17386</v>
      </c>
      <c r="C54">
        <v>134</v>
      </c>
      <c r="D54">
        <v>0.77672153953164846</v>
      </c>
      <c r="E54">
        <v>0.8</v>
      </c>
      <c r="F54">
        <v>-8.1</v>
      </c>
      <c r="G54">
        <v>-91.011235955056179</v>
      </c>
    </row>
    <row r="55" spans="1:7" x14ac:dyDescent="0.2">
      <c r="A55" s="6">
        <v>41453</v>
      </c>
      <c r="B55">
        <v>17252</v>
      </c>
      <c r="C55">
        <v>1410</v>
      </c>
      <c r="D55">
        <v>8.9003913647266764</v>
      </c>
      <c r="E55">
        <v>8.9</v>
      </c>
      <c r="F55">
        <v>0.30000000000000071</v>
      </c>
      <c r="G55">
        <v>3.4883720930232642</v>
      </c>
    </row>
    <row r="56" spans="1:7" x14ac:dyDescent="0.2">
      <c r="A56" s="6">
        <v>41362</v>
      </c>
      <c r="B56">
        <v>15842</v>
      </c>
      <c r="C56">
        <v>1261</v>
      </c>
      <c r="D56">
        <v>8.6482408613949655</v>
      </c>
      <c r="E56">
        <v>8.6</v>
      </c>
      <c r="F56">
        <v>24.5</v>
      </c>
      <c r="G56">
        <v>154.08805031446539</v>
      </c>
    </row>
    <row r="57" spans="1:7" x14ac:dyDescent="0.2">
      <c r="A57" s="6">
        <v>41274</v>
      </c>
      <c r="B57">
        <v>14581</v>
      </c>
      <c r="C57">
        <v>-2747</v>
      </c>
      <c r="D57">
        <v>-15.852954755309327</v>
      </c>
      <c r="E57">
        <v>-15.9</v>
      </c>
      <c r="F57">
        <v>-5.3000000000000007</v>
      </c>
      <c r="G57">
        <v>-50.000000000000014</v>
      </c>
    </row>
    <row r="58" spans="1:7" x14ac:dyDescent="0.2">
      <c r="A58" s="6">
        <v>41180</v>
      </c>
      <c r="B58">
        <v>17328</v>
      </c>
      <c r="C58">
        <v>-2055</v>
      </c>
      <c r="D58">
        <v>-10.602073982355673</v>
      </c>
      <c r="E58">
        <v>-10.6</v>
      </c>
      <c r="F58">
        <v>-16.899999999999999</v>
      </c>
      <c r="G58">
        <v>-268.25396825396825</v>
      </c>
    </row>
    <row r="59" spans="1:7" x14ac:dyDescent="0.2">
      <c r="A59" s="6">
        <v>41089</v>
      </c>
      <c r="B59">
        <v>19383</v>
      </c>
      <c r="C59">
        <v>1153</v>
      </c>
      <c r="D59">
        <v>6.3247394404827206</v>
      </c>
      <c r="E59">
        <v>6.3</v>
      </c>
      <c r="F59">
        <v>7.4</v>
      </c>
      <c r="G59">
        <v>672.72727272727263</v>
      </c>
    </row>
    <row r="60" spans="1:7" x14ac:dyDescent="0.2">
      <c r="A60" s="6">
        <v>40998</v>
      </c>
      <c r="B60">
        <v>18230</v>
      </c>
      <c r="C60">
        <v>-212</v>
      </c>
      <c r="D60">
        <v>-1.1495499403535407</v>
      </c>
      <c r="E60">
        <v>-1.1000000000000001</v>
      </c>
      <c r="F60">
        <v>-16.400000000000002</v>
      </c>
      <c r="G60">
        <v>-107.18954248366013</v>
      </c>
    </row>
    <row r="61" spans="1:7" x14ac:dyDescent="0.2">
      <c r="A61" s="6">
        <v>40907</v>
      </c>
      <c r="B61">
        <v>18442</v>
      </c>
      <c r="C61">
        <v>2441</v>
      </c>
      <c r="D61">
        <v>15.255296543966002</v>
      </c>
      <c r="E61">
        <v>15.3</v>
      </c>
      <c r="F61">
        <v>17.600000000000001</v>
      </c>
      <c r="G61">
        <v>765.21739130434798</v>
      </c>
    </row>
    <row r="62" spans="1:7" x14ac:dyDescent="0.2">
      <c r="A62" s="6">
        <v>40816</v>
      </c>
      <c r="B62">
        <v>16001</v>
      </c>
      <c r="C62">
        <v>-374</v>
      </c>
      <c r="D62">
        <v>-2.2839694656488549</v>
      </c>
      <c r="E62">
        <v>-2.2999999999999998</v>
      </c>
      <c r="F62">
        <v>0.60000000000000009</v>
      </c>
      <c r="G62">
        <v>20.689655172413797</v>
      </c>
    </row>
    <row r="63" spans="1:7" x14ac:dyDescent="0.2">
      <c r="A63" s="6">
        <v>40724</v>
      </c>
      <c r="B63">
        <v>16375</v>
      </c>
      <c r="C63">
        <v>-487</v>
      </c>
      <c r="D63">
        <v>-2.8881508717827065</v>
      </c>
      <c r="E63">
        <v>-2.9</v>
      </c>
      <c r="F63" t="s">
        <v>11</v>
      </c>
      <c r="G63" t="s">
        <v>11</v>
      </c>
    </row>
    <row r="64" spans="1:7" x14ac:dyDescent="0.2">
      <c r="A64" s="6">
        <v>40633</v>
      </c>
      <c r="B64">
        <v>16862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31EB-9030-42FB-B324-055FD7E1B42B}">
  <dimension ref="A1:H64"/>
  <sheetViews>
    <sheetView topLeftCell="A33" workbookViewId="0">
      <selection activeCell="B6" sqref="B6"/>
    </sheetView>
  </sheetViews>
  <sheetFormatPr baseColWidth="10" defaultColWidth="8.83203125" defaultRowHeight="15" outlineLevelCol="1" x14ac:dyDescent="0.2"/>
  <cols>
    <col min="1" max="1" width="11.6640625" customWidth="1"/>
    <col min="2" max="2" width="17.33203125" customWidth="1"/>
    <col min="3" max="7" width="9.1640625" hidden="1" customWidth="1" outlineLevel="1"/>
    <col min="8" max="8" width="9.1640625" collapsed="1"/>
  </cols>
  <sheetData>
    <row r="1" spans="1:8" x14ac:dyDescent="0.2">
      <c r="A1" t="s">
        <v>0</v>
      </c>
      <c r="B1" t="s">
        <v>21</v>
      </c>
    </row>
    <row r="2" spans="1:8" x14ac:dyDescent="0.2">
      <c r="A2" t="s">
        <v>2</v>
      </c>
      <c r="B2" s="5">
        <v>40633</v>
      </c>
    </row>
    <row r="3" spans="1:8" x14ac:dyDescent="0.2">
      <c r="A3" t="s">
        <v>3</v>
      </c>
      <c r="B3" s="5">
        <v>45838</v>
      </c>
    </row>
    <row r="4" spans="1:8" x14ac:dyDescent="0.2">
      <c r="A4" t="s">
        <v>4</v>
      </c>
      <c r="B4" t="s">
        <v>19</v>
      </c>
      <c r="H4" t="s">
        <v>50</v>
      </c>
    </row>
    <row r="6" spans="1:8" x14ac:dyDescent="0.2">
      <c r="A6" t="s">
        <v>6</v>
      </c>
      <c r="B6" t="s">
        <v>22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45838</v>
      </c>
      <c r="B7">
        <v>3979</v>
      </c>
      <c r="C7">
        <v>-436</v>
      </c>
      <c r="D7">
        <v>-9.8754246885617221</v>
      </c>
      <c r="E7">
        <v>-9.9</v>
      </c>
      <c r="F7">
        <v>-1</v>
      </c>
      <c r="G7">
        <v>-11.235955056179774</v>
      </c>
    </row>
    <row r="8" spans="1:8" x14ac:dyDescent="0.2">
      <c r="A8" s="6">
        <v>45747</v>
      </c>
      <c r="B8">
        <v>4415</v>
      </c>
      <c r="C8">
        <v>-431</v>
      </c>
      <c r="D8">
        <v>-8.8939331407346263</v>
      </c>
      <c r="E8">
        <v>-8.9</v>
      </c>
      <c r="F8">
        <v>-18.8</v>
      </c>
      <c r="G8">
        <v>-189.8989898989899</v>
      </c>
    </row>
    <row r="9" spans="1:8" x14ac:dyDescent="0.2">
      <c r="A9" s="6">
        <v>45657</v>
      </c>
      <c r="B9">
        <v>4846</v>
      </c>
      <c r="C9">
        <v>435</v>
      </c>
      <c r="D9">
        <v>9.8617093629562458</v>
      </c>
      <c r="E9">
        <v>9.9</v>
      </c>
      <c r="F9">
        <v>17.600000000000001</v>
      </c>
      <c r="G9">
        <v>228.57142857142858</v>
      </c>
    </row>
    <row r="10" spans="1:8" x14ac:dyDescent="0.2">
      <c r="A10" s="6">
        <v>45565</v>
      </c>
      <c r="B10">
        <v>4411</v>
      </c>
      <c r="C10">
        <v>-368</v>
      </c>
      <c r="D10">
        <v>-7.7003557229545931</v>
      </c>
      <c r="E10">
        <v>-7.7</v>
      </c>
      <c r="F10">
        <v>-18.7</v>
      </c>
      <c r="G10">
        <v>-170</v>
      </c>
    </row>
    <row r="11" spans="1:8" x14ac:dyDescent="0.2">
      <c r="A11" s="6">
        <v>45471</v>
      </c>
      <c r="B11">
        <v>4779</v>
      </c>
      <c r="C11">
        <v>475</v>
      </c>
      <c r="D11">
        <v>11.036245353159851</v>
      </c>
      <c r="E11">
        <v>11</v>
      </c>
      <c r="F11">
        <v>17.2</v>
      </c>
      <c r="G11">
        <v>277.41935483870969</v>
      </c>
    </row>
    <row r="12" spans="1:8" x14ac:dyDescent="0.2">
      <c r="A12" s="6">
        <v>45380</v>
      </c>
      <c r="B12">
        <v>4304</v>
      </c>
      <c r="C12">
        <v>-283</v>
      </c>
      <c r="D12">
        <v>-6.1696097667320693</v>
      </c>
      <c r="E12">
        <v>-6.2</v>
      </c>
      <c r="F12">
        <v>-7.6</v>
      </c>
      <c r="G12">
        <v>-542.85714285714289</v>
      </c>
    </row>
    <row r="13" spans="1:8" x14ac:dyDescent="0.2">
      <c r="A13" s="6">
        <v>45289</v>
      </c>
      <c r="B13">
        <v>4587</v>
      </c>
      <c r="C13">
        <v>64</v>
      </c>
      <c r="D13">
        <v>1.414990050851205</v>
      </c>
      <c r="E13">
        <v>1.4</v>
      </c>
      <c r="F13">
        <v>-3.1999999999999997</v>
      </c>
      <c r="G13">
        <v>-69.565217391304358</v>
      </c>
    </row>
    <row r="14" spans="1:8" x14ac:dyDescent="0.2">
      <c r="A14" s="6">
        <v>45198</v>
      </c>
      <c r="B14">
        <v>4523</v>
      </c>
      <c r="C14">
        <v>200</v>
      </c>
      <c r="D14">
        <v>4.6264168401572983</v>
      </c>
      <c r="E14">
        <v>4.5999999999999996</v>
      </c>
      <c r="F14">
        <v>1.0999999999999996</v>
      </c>
      <c r="G14">
        <v>31.42857142857142</v>
      </c>
    </row>
    <row r="15" spans="1:8" x14ac:dyDescent="0.2">
      <c r="A15" s="6">
        <v>45107</v>
      </c>
      <c r="B15">
        <v>4323</v>
      </c>
      <c r="C15">
        <v>147</v>
      </c>
      <c r="D15">
        <v>3.5201149425287355</v>
      </c>
      <c r="E15">
        <v>3.5</v>
      </c>
      <c r="F15">
        <v>13.6</v>
      </c>
      <c r="G15">
        <v>134.65346534653466</v>
      </c>
    </row>
    <row r="16" spans="1:8" x14ac:dyDescent="0.2">
      <c r="A16" s="6">
        <v>45016</v>
      </c>
      <c r="B16">
        <v>4176</v>
      </c>
      <c r="C16">
        <v>-468</v>
      </c>
      <c r="D16">
        <v>-10.077519379844961</v>
      </c>
      <c r="E16">
        <v>-10.1</v>
      </c>
      <c r="F16">
        <v>5.4</v>
      </c>
      <c r="G16">
        <v>34.838709677419352</v>
      </c>
    </row>
    <row r="17" spans="1:7" x14ac:dyDescent="0.2">
      <c r="A17" s="6">
        <v>44925</v>
      </c>
      <c r="B17">
        <v>4644</v>
      </c>
      <c r="C17">
        <v>-853</v>
      </c>
      <c r="D17">
        <v>-15.517555030016373</v>
      </c>
      <c r="E17">
        <v>-15.5</v>
      </c>
      <c r="F17">
        <v>0.5</v>
      </c>
      <c r="G17">
        <v>3.125</v>
      </c>
    </row>
    <row r="18" spans="1:7" x14ac:dyDescent="0.2">
      <c r="A18" s="6">
        <v>44834</v>
      </c>
      <c r="B18">
        <v>5497</v>
      </c>
      <c r="C18">
        <v>-1046</v>
      </c>
      <c r="D18">
        <v>-15.986550511997555</v>
      </c>
      <c r="E18">
        <v>-16</v>
      </c>
      <c r="F18">
        <v>-16</v>
      </c>
      <c r="G18" t="e">
        <v>#DIV/0!</v>
      </c>
    </row>
    <row r="19" spans="1:7" x14ac:dyDescent="0.2">
      <c r="A19" s="6">
        <v>44742</v>
      </c>
      <c r="B19">
        <v>6543</v>
      </c>
      <c r="C19">
        <v>1</v>
      </c>
      <c r="D19">
        <v>1.528584530724549E-2</v>
      </c>
      <c r="E19">
        <v>0</v>
      </c>
      <c r="F19">
        <v>10.1</v>
      </c>
      <c r="G19">
        <v>100</v>
      </c>
    </row>
    <row r="20" spans="1:7" x14ac:dyDescent="0.2">
      <c r="A20" s="6">
        <v>44651</v>
      </c>
      <c r="B20">
        <v>6542</v>
      </c>
      <c r="C20">
        <v>-736</v>
      </c>
      <c r="D20">
        <v>-10.112668315471284</v>
      </c>
      <c r="E20">
        <v>-10.1</v>
      </c>
      <c r="F20">
        <v>-36.700000000000003</v>
      </c>
      <c r="G20">
        <v>-137.96992481203009</v>
      </c>
    </row>
    <row r="21" spans="1:7" x14ac:dyDescent="0.2">
      <c r="A21" s="6">
        <v>44561</v>
      </c>
      <c r="B21">
        <v>7278</v>
      </c>
      <c r="C21">
        <v>1528</v>
      </c>
      <c r="D21">
        <v>26.57391304347826</v>
      </c>
      <c r="E21">
        <v>26.6</v>
      </c>
      <c r="F21">
        <v>36.700000000000003</v>
      </c>
      <c r="G21">
        <v>363.36633663366342</v>
      </c>
    </row>
    <row r="22" spans="1:7" x14ac:dyDescent="0.2">
      <c r="A22" s="6">
        <v>44469</v>
      </c>
      <c r="B22">
        <v>5750</v>
      </c>
      <c r="C22">
        <v>-646</v>
      </c>
      <c r="D22">
        <v>-10.100062539086929</v>
      </c>
      <c r="E22">
        <v>-10.1</v>
      </c>
      <c r="F22">
        <v>5.9</v>
      </c>
      <c r="G22">
        <v>36.875</v>
      </c>
    </row>
    <row r="23" spans="1:7" x14ac:dyDescent="0.2">
      <c r="A23" s="6">
        <v>44377</v>
      </c>
      <c r="B23">
        <v>6396</v>
      </c>
      <c r="C23">
        <v>-1219</v>
      </c>
      <c r="D23">
        <v>-16.007879185817465</v>
      </c>
      <c r="E23">
        <v>-16</v>
      </c>
      <c r="F23">
        <v>-28.1</v>
      </c>
      <c r="G23">
        <v>-232.2314049586777</v>
      </c>
    </row>
    <row r="24" spans="1:7" x14ac:dyDescent="0.2">
      <c r="A24" s="6">
        <v>44286</v>
      </c>
      <c r="B24">
        <v>7615</v>
      </c>
      <c r="C24">
        <v>824</v>
      </c>
      <c r="D24">
        <v>12.133706376085996</v>
      </c>
      <c r="E24">
        <v>12.1</v>
      </c>
      <c r="F24">
        <v>1.5999999999999996</v>
      </c>
      <c r="G24">
        <v>15.238095238095235</v>
      </c>
    </row>
    <row r="25" spans="1:7" x14ac:dyDescent="0.2">
      <c r="A25" s="6">
        <v>44196</v>
      </c>
      <c r="B25">
        <v>6791</v>
      </c>
      <c r="C25">
        <v>647</v>
      </c>
      <c r="D25">
        <v>10.530598958333334</v>
      </c>
      <c r="E25">
        <v>10.5</v>
      </c>
      <c r="F25">
        <v>-28.5</v>
      </c>
      <c r="G25">
        <v>-73.07692307692308</v>
      </c>
    </row>
    <row r="26" spans="1:7" x14ac:dyDescent="0.2">
      <c r="A26" s="6">
        <v>44104</v>
      </c>
      <c r="B26">
        <v>6144</v>
      </c>
      <c r="C26">
        <v>1724</v>
      </c>
      <c r="D26">
        <v>39.004524886877832</v>
      </c>
      <c r="E26">
        <v>39</v>
      </c>
      <c r="F26">
        <v>42.4</v>
      </c>
      <c r="G26">
        <v>1247.0588235294117</v>
      </c>
    </row>
    <row r="27" spans="1:7" x14ac:dyDescent="0.2">
      <c r="A27" s="6">
        <v>44012</v>
      </c>
      <c r="B27">
        <v>4420</v>
      </c>
      <c r="C27">
        <v>-156</v>
      </c>
      <c r="D27">
        <v>-3.4090909090909092</v>
      </c>
      <c r="E27">
        <v>-3.4</v>
      </c>
      <c r="F27">
        <v>-1.1999999999999997</v>
      </c>
      <c r="G27">
        <v>-54.545454545454525</v>
      </c>
    </row>
    <row r="28" spans="1:7" x14ac:dyDescent="0.2">
      <c r="A28" s="6">
        <v>43921</v>
      </c>
      <c r="B28">
        <v>4576</v>
      </c>
      <c r="C28">
        <v>-102</v>
      </c>
      <c r="D28">
        <v>-2.1804189824711413</v>
      </c>
      <c r="E28">
        <v>-2.2000000000000002</v>
      </c>
      <c r="F28">
        <v>3.2</v>
      </c>
      <c r="G28">
        <v>59.259259259259252</v>
      </c>
    </row>
    <row r="29" spans="1:7" x14ac:dyDescent="0.2">
      <c r="A29" s="6">
        <v>43830</v>
      </c>
      <c r="B29">
        <v>4678</v>
      </c>
      <c r="C29">
        <v>-267</v>
      </c>
      <c r="D29">
        <v>-5.3993933265925174</v>
      </c>
      <c r="E29">
        <v>-5.4</v>
      </c>
      <c r="F29">
        <v>-2.2000000000000002</v>
      </c>
      <c r="G29">
        <v>-68.75</v>
      </c>
    </row>
    <row r="30" spans="1:7" x14ac:dyDescent="0.2">
      <c r="A30" s="6">
        <v>43738</v>
      </c>
      <c r="B30">
        <v>4945</v>
      </c>
      <c r="C30">
        <v>-164</v>
      </c>
      <c r="D30">
        <v>-3.2100215306322175</v>
      </c>
      <c r="E30">
        <v>-3.2</v>
      </c>
      <c r="F30">
        <v>-15.7</v>
      </c>
      <c r="G30">
        <v>-125.6</v>
      </c>
    </row>
    <row r="31" spans="1:7" x14ac:dyDescent="0.2">
      <c r="A31" s="6">
        <v>43644</v>
      </c>
      <c r="B31">
        <v>5109</v>
      </c>
      <c r="C31">
        <v>566</v>
      </c>
      <c r="D31">
        <v>12.458727712965</v>
      </c>
      <c r="E31">
        <v>12.5</v>
      </c>
      <c r="F31">
        <v>11.3</v>
      </c>
      <c r="G31">
        <v>941.66666666666674</v>
      </c>
    </row>
    <row r="32" spans="1:7" x14ac:dyDescent="0.2">
      <c r="A32" s="6">
        <v>43553</v>
      </c>
      <c r="B32">
        <v>4543</v>
      </c>
      <c r="C32">
        <v>52</v>
      </c>
      <c r="D32">
        <v>1.1578712981518593</v>
      </c>
      <c r="E32">
        <v>1.2</v>
      </c>
      <c r="F32">
        <v>10.6</v>
      </c>
      <c r="G32">
        <v>112.7659574468085</v>
      </c>
    </row>
    <row r="33" spans="1:7" x14ac:dyDescent="0.2">
      <c r="A33" s="6">
        <v>43465</v>
      </c>
      <c r="B33">
        <v>4491</v>
      </c>
      <c r="C33">
        <v>-465</v>
      </c>
      <c r="D33">
        <v>-9.3825665859564165</v>
      </c>
      <c r="E33">
        <v>-9.4</v>
      </c>
      <c r="F33">
        <v>0.69999999999999929</v>
      </c>
      <c r="G33">
        <v>6.9306930693069235</v>
      </c>
    </row>
    <row r="34" spans="1:7" x14ac:dyDescent="0.2">
      <c r="A34" s="6">
        <v>43371</v>
      </c>
      <c r="B34">
        <v>4956</v>
      </c>
      <c r="C34">
        <v>-557</v>
      </c>
      <c r="D34">
        <v>-10.103391982586613</v>
      </c>
      <c r="E34">
        <v>-10.1</v>
      </c>
      <c r="F34">
        <v>-14.7</v>
      </c>
      <c r="G34">
        <v>-319.56521739130437</v>
      </c>
    </row>
    <row r="35" spans="1:7" x14ac:dyDescent="0.2">
      <c r="A35" s="6">
        <v>43280</v>
      </c>
      <c r="B35">
        <v>5513</v>
      </c>
      <c r="C35">
        <v>243</v>
      </c>
      <c r="D35">
        <v>4.6110056925996208</v>
      </c>
      <c r="E35">
        <v>4.5999999999999996</v>
      </c>
      <c r="F35">
        <v>23.700000000000003</v>
      </c>
      <c r="G35">
        <v>124.08376963350787</v>
      </c>
    </row>
    <row r="36" spans="1:7" x14ac:dyDescent="0.2">
      <c r="A36" s="6">
        <v>43189</v>
      </c>
      <c r="B36">
        <v>5270</v>
      </c>
      <c r="C36">
        <v>-1248</v>
      </c>
      <c r="D36">
        <v>-19.146977600490949</v>
      </c>
      <c r="E36">
        <v>-19.100000000000001</v>
      </c>
      <c r="F36">
        <v>-33</v>
      </c>
      <c r="G36">
        <v>-237.41007194244602</v>
      </c>
    </row>
    <row r="37" spans="1:7" x14ac:dyDescent="0.2">
      <c r="A37" s="6">
        <v>43098</v>
      </c>
      <c r="B37">
        <v>6518</v>
      </c>
      <c r="C37">
        <v>795</v>
      </c>
      <c r="D37">
        <v>13.891315743491177</v>
      </c>
      <c r="E37">
        <v>13.9</v>
      </c>
      <c r="F37">
        <v>11</v>
      </c>
      <c r="G37">
        <v>379.31034482758622</v>
      </c>
    </row>
    <row r="38" spans="1:7" x14ac:dyDescent="0.2">
      <c r="A38" s="6">
        <v>43007</v>
      </c>
      <c r="B38">
        <v>5723</v>
      </c>
      <c r="C38">
        <v>160</v>
      </c>
      <c r="D38">
        <v>2.8761459644076939</v>
      </c>
      <c r="E38">
        <v>2.9</v>
      </c>
      <c r="F38">
        <v>11.9</v>
      </c>
      <c r="G38">
        <v>132.22222222222223</v>
      </c>
    </row>
    <row r="39" spans="1:7" x14ac:dyDescent="0.2">
      <c r="A39" s="6">
        <v>42916</v>
      </c>
      <c r="B39">
        <v>5563</v>
      </c>
      <c r="C39">
        <v>-552</v>
      </c>
      <c r="D39">
        <v>-9.0269828291087482</v>
      </c>
      <c r="E39">
        <v>-9</v>
      </c>
      <c r="F39">
        <v>-2.2000000000000002</v>
      </c>
      <c r="G39">
        <v>-32.352941176470594</v>
      </c>
    </row>
    <row r="40" spans="1:7" x14ac:dyDescent="0.2">
      <c r="A40" s="6">
        <v>42825</v>
      </c>
      <c r="B40">
        <v>6115</v>
      </c>
      <c r="C40">
        <v>-446</v>
      </c>
      <c r="D40">
        <v>-6.7977442463039175</v>
      </c>
      <c r="E40">
        <v>-6.8</v>
      </c>
      <c r="F40">
        <v>-13.899999999999999</v>
      </c>
      <c r="G40">
        <v>-195.77464788732391</v>
      </c>
    </row>
    <row r="41" spans="1:7" x14ac:dyDescent="0.2">
      <c r="A41" s="6">
        <v>42734</v>
      </c>
      <c r="B41">
        <v>6561</v>
      </c>
      <c r="C41">
        <v>434</v>
      </c>
      <c r="D41">
        <v>7.0834013383385015</v>
      </c>
      <c r="E41">
        <v>7.1</v>
      </c>
      <c r="F41">
        <v>3.6999999999999997</v>
      </c>
      <c r="G41">
        <v>108.82352941176471</v>
      </c>
    </row>
    <row r="42" spans="1:7" x14ac:dyDescent="0.2">
      <c r="A42" s="6">
        <v>42643</v>
      </c>
      <c r="B42">
        <v>6127</v>
      </c>
      <c r="C42">
        <v>203</v>
      </c>
      <c r="D42">
        <v>3.426738690074274</v>
      </c>
      <c r="E42">
        <v>3.4</v>
      </c>
      <c r="F42">
        <v>-0.30000000000000027</v>
      </c>
      <c r="G42">
        <v>-8.1081081081081159</v>
      </c>
    </row>
    <row r="43" spans="1:7" x14ac:dyDescent="0.2">
      <c r="A43" s="6">
        <v>42551</v>
      </c>
      <c r="B43">
        <v>5924</v>
      </c>
      <c r="C43">
        <v>213</v>
      </c>
      <c r="D43">
        <v>3.7296445456137279</v>
      </c>
      <c r="E43">
        <v>3.7</v>
      </c>
      <c r="F43">
        <v>0.70000000000000018</v>
      </c>
      <c r="G43">
        <v>23.333333333333339</v>
      </c>
    </row>
    <row r="44" spans="1:7" x14ac:dyDescent="0.2">
      <c r="A44" s="6">
        <v>42460</v>
      </c>
      <c r="B44">
        <v>5711</v>
      </c>
      <c r="C44">
        <v>165</v>
      </c>
      <c r="D44">
        <v>2.9751172015867291</v>
      </c>
      <c r="E44">
        <v>3</v>
      </c>
      <c r="F44">
        <v>6.4</v>
      </c>
      <c r="G44">
        <v>188.23529411764707</v>
      </c>
    </row>
    <row r="45" spans="1:7" x14ac:dyDescent="0.2">
      <c r="A45" s="6">
        <v>42369</v>
      </c>
      <c r="B45">
        <v>5546</v>
      </c>
      <c r="C45">
        <v>-196</v>
      </c>
      <c r="D45">
        <v>-3.4134447927551377</v>
      </c>
      <c r="E45">
        <v>-3.4</v>
      </c>
      <c r="F45">
        <v>-0.29999999999999982</v>
      </c>
      <c r="G45">
        <v>-9.6774193548387029</v>
      </c>
    </row>
    <row r="46" spans="1:7" x14ac:dyDescent="0.2">
      <c r="A46" s="6">
        <v>42277</v>
      </c>
      <c r="B46">
        <v>5742</v>
      </c>
      <c r="C46">
        <v>-186</v>
      </c>
      <c r="D46">
        <v>-3.1376518218623484</v>
      </c>
      <c r="E46">
        <v>-3.1</v>
      </c>
      <c r="F46">
        <v>-8.9</v>
      </c>
      <c r="G46">
        <v>-153.44827586206898</v>
      </c>
    </row>
    <row r="47" spans="1:7" x14ac:dyDescent="0.2">
      <c r="A47" s="6">
        <v>42185</v>
      </c>
      <c r="B47">
        <v>5928</v>
      </c>
      <c r="C47">
        <v>324</v>
      </c>
      <c r="D47">
        <v>5.7815845824411136</v>
      </c>
      <c r="E47">
        <v>5.8</v>
      </c>
      <c r="F47">
        <v>16.600000000000001</v>
      </c>
      <c r="G47">
        <v>153.70370370370372</v>
      </c>
    </row>
    <row r="48" spans="1:7" x14ac:dyDescent="0.2">
      <c r="A48" s="6">
        <v>42094</v>
      </c>
      <c r="B48">
        <v>5604</v>
      </c>
      <c r="C48">
        <v>-682</v>
      </c>
      <c r="D48">
        <v>-10.849506840598155</v>
      </c>
      <c r="E48">
        <v>-10.8</v>
      </c>
      <c r="F48">
        <v>-9.2000000000000011</v>
      </c>
      <c r="G48">
        <v>-575</v>
      </c>
    </row>
    <row r="49" spans="1:7" x14ac:dyDescent="0.2">
      <c r="A49" s="6">
        <v>42004</v>
      </c>
      <c r="B49">
        <v>6286</v>
      </c>
      <c r="C49">
        <v>-100</v>
      </c>
      <c r="D49">
        <v>-1.5659254619480112</v>
      </c>
      <c r="E49">
        <v>-1.6</v>
      </c>
      <c r="F49">
        <v>0.5</v>
      </c>
      <c r="G49">
        <v>23.80952380952381</v>
      </c>
    </row>
    <row r="50" spans="1:7" x14ac:dyDescent="0.2">
      <c r="A50" s="6">
        <v>41912</v>
      </c>
      <c r="B50">
        <v>6386</v>
      </c>
      <c r="C50">
        <v>-139</v>
      </c>
      <c r="D50">
        <v>-2.1302681992337167</v>
      </c>
      <c r="E50">
        <v>-2.1</v>
      </c>
      <c r="F50">
        <v>-11.5</v>
      </c>
      <c r="G50">
        <v>-122.34042553191489</v>
      </c>
    </row>
    <row r="51" spans="1:7" x14ac:dyDescent="0.2">
      <c r="A51" s="6">
        <v>41820</v>
      </c>
      <c r="B51">
        <v>6525</v>
      </c>
      <c r="C51">
        <v>562</v>
      </c>
      <c r="D51">
        <v>9.4247861814522889</v>
      </c>
      <c r="E51">
        <v>9.4</v>
      </c>
      <c r="F51">
        <v>10.6</v>
      </c>
      <c r="G51">
        <v>883.33333333333337</v>
      </c>
    </row>
    <row r="52" spans="1:7" x14ac:dyDescent="0.2">
      <c r="A52" s="6">
        <v>41729</v>
      </c>
      <c r="B52">
        <v>5963</v>
      </c>
      <c r="C52">
        <v>-72</v>
      </c>
      <c r="D52">
        <v>-1.1930405965202984</v>
      </c>
      <c r="E52">
        <v>-1.2</v>
      </c>
      <c r="F52">
        <v>3.5</v>
      </c>
      <c r="G52">
        <v>74.468085106382972</v>
      </c>
    </row>
    <row r="53" spans="1:7" x14ac:dyDescent="0.2">
      <c r="A53" s="6">
        <v>41639</v>
      </c>
      <c r="B53">
        <v>6035</v>
      </c>
      <c r="C53">
        <v>-296</v>
      </c>
      <c r="D53">
        <v>-4.6754067287948189</v>
      </c>
      <c r="E53">
        <v>-4.7</v>
      </c>
      <c r="F53">
        <v>-6.9</v>
      </c>
      <c r="G53">
        <v>-313.63636363636363</v>
      </c>
    </row>
    <row r="54" spans="1:7" x14ac:dyDescent="0.2">
      <c r="A54" s="6">
        <v>41547</v>
      </c>
      <c r="B54">
        <v>6331</v>
      </c>
      <c r="C54">
        <v>136</v>
      </c>
      <c r="D54">
        <v>2.1953188054882968</v>
      </c>
      <c r="E54">
        <v>2.2000000000000002</v>
      </c>
      <c r="F54">
        <v>7.2</v>
      </c>
      <c r="G54">
        <v>144</v>
      </c>
    </row>
    <row r="55" spans="1:7" x14ac:dyDescent="0.2">
      <c r="A55" s="6">
        <v>41453</v>
      </c>
      <c r="B55">
        <v>6195</v>
      </c>
      <c r="C55">
        <v>-325</v>
      </c>
      <c r="D55">
        <v>-4.9846625766871169</v>
      </c>
      <c r="E55">
        <v>-5</v>
      </c>
      <c r="F55">
        <v>-11.7</v>
      </c>
      <c r="G55">
        <v>-174.62686567164178</v>
      </c>
    </row>
    <row r="56" spans="1:7" x14ac:dyDescent="0.2">
      <c r="A56" s="6">
        <v>41362</v>
      </c>
      <c r="B56">
        <v>6520</v>
      </c>
      <c r="C56">
        <v>412</v>
      </c>
      <c r="D56">
        <v>6.7452521283562543</v>
      </c>
      <c r="E56">
        <v>6.7</v>
      </c>
      <c r="F56">
        <v>22.1</v>
      </c>
      <c r="G56">
        <v>143.50649350649351</v>
      </c>
    </row>
    <row r="57" spans="1:7" x14ac:dyDescent="0.2">
      <c r="A57" s="6">
        <v>41274</v>
      </c>
      <c r="B57">
        <v>6108</v>
      </c>
      <c r="C57">
        <v>-1115</v>
      </c>
      <c r="D57">
        <v>-15.436799113941575</v>
      </c>
      <c r="E57">
        <v>-15.4</v>
      </c>
      <c r="F57">
        <v>-11.100000000000001</v>
      </c>
      <c r="G57">
        <v>-258.13953488372101</v>
      </c>
    </row>
    <row r="58" spans="1:7" x14ac:dyDescent="0.2">
      <c r="A58" s="6">
        <v>41180</v>
      </c>
      <c r="B58">
        <v>7223</v>
      </c>
      <c r="C58">
        <v>-322</v>
      </c>
      <c r="D58">
        <v>-4.2677269715043078</v>
      </c>
      <c r="E58">
        <v>-4.3</v>
      </c>
      <c r="F58">
        <v>-7.6</v>
      </c>
      <c r="G58">
        <v>-230.30303030303031</v>
      </c>
    </row>
    <row r="59" spans="1:7" x14ac:dyDescent="0.2">
      <c r="A59" s="6">
        <v>41089</v>
      </c>
      <c r="B59">
        <v>7545</v>
      </c>
      <c r="C59">
        <v>241</v>
      </c>
      <c r="D59">
        <v>3.2995618838992331</v>
      </c>
      <c r="E59">
        <v>3.3</v>
      </c>
      <c r="F59">
        <v>4.2</v>
      </c>
      <c r="G59">
        <v>466.66666666666663</v>
      </c>
    </row>
    <row r="60" spans="1:7" x14ac:dyDescent="0.2">
      <c r="A60" s="6">
        <v>40998</v>
      </c>
      <c r="B60">
        <v>7304</v>
      </c>
      <c r="C60">
        <v>-66</v>
      </c>
      <c r="D60">
        <v>-0.89552238805970152</v>
      </c>
      <c r="E60">
        <v>-0.9</v>
      </c>
      <c r="F60">
        <v>-18.5</v>
      </c>
      <c r="G60">
        <v>-105.11363636363636</v>
      </c>
    </row>
    <row r="61" spans="1:7" x14ac:dyDescent="0.2">
      <c r="A61" s="6">
        <v>40907</v>
      </c>
      <c r="B61">
        <v>7370</v>
      </c>
      <c r="C61">
        <v>1103</v>
      </c>
      <c r="D61">
        <v>17.600127652784426</v>
      </c>
      <c r="E61">
        <v>17.600000000000001</v>
      </c>
      <c r="F61">
        <v>27.200000000000003</v>
      </c>
      <c r="G61">
        <v>283.33333333333337</v>
      </c>
    </row>
    <row r="62" spans="1:7" x14ac:dyDescent="0.2">
      <c r="A62" s="6">
        <v>40816</v>
      </c>
      <c r="B62">
        <v>6267</v>
      </c>
      <c r="C62">
        <v>-668</v>
      </c>
      <c r="D62">
        <v>-9.632299927901947</v>
      </c>
      <c r="E62">
        <v>-9.6</v>
      </c>
      <c r="F62">
        <v>-11.5</v>
      </c>
      <c r="G62">
        <v>-605.26315789473688</v>
      </c>
    </row>
    <row r="63" spans="1:7" x14ac:dyDescent="0.2">
      <c r="A63" s="6">
        <v>40724</v>
      </c>
      <c r="B63">
        <v>6935</v>
      </c>
      <c r="C63">
        <v>126</v>
      </c>
      <c r="D63">
        <v>1.8504919958877957</v>
      </c>
      <c r="E63">
        <v>1.9</v>
      </c>
      <c r="F63" t="s">
        <v>11</v>
      </c>
      <c r="G63" t="s">
        <v>11</v>
      </c>
    </row>
    <row r="64" spans="1:7" x14ac:dyDescent="0.2">
      <c r="A64" s="6">
        <v>40633</v>
      </c>
      <c r="B64">
        <v>6809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B298-34DD-44A4-A379-2FA5E42831C6}">
  <dimension ref="A1:I86"/>
  <sheetViews>
    <sheetView topLeftCell="A56" workbookViewId="0">
      <selection activeCell="J17" sqref="J17"/>
    </sheetView>
  </sheetViews>
  <sheetFormatPr baseColWidth="10" defaultColWidth="8.83203125" defaultRowHeight="15" outlineLevelCol="1" x14ac:dyDescent="0.2"/>
  <cols>
    <col min="1" max="1" width="12.1640625" customWidth="1"/>
    <col min="2" max="2" width="29.83203125" customWidth="1"/>
    <col min="3" max="3" width="21.1640625" customWidth="1"/>
    <col min="4" max="8" width="9.1640625" hidden="1" customWidth="1" outlineLevel="1"/>
    <col min="9" max="9" width="9.1640625" collapsed="1"/>
  </cols>
  <sheetData>
    <row r="1" spans="1:9" x14ac:dyDescent="0.2">
      <c r="A1" t="s">
        <v>0</v>
      </c>
      <c r="B1" t="s">
        <v>23</v>
      </c>
    </row>
    <row r="2" spans="1:9" x14ac:dyDescent="0.2">
      <c r="A2" t="s">
        <v>2</v>
      </c>
      <c r="B2" s="5">
        <v>38717</v>
      </c>
      <c r="C2" s="5"/>
    </row>
    <row r="3" spans="1:9" x14ac:dyDescent="0.2">
      <c r="A3" t="s">
        <v>3</v>
      </c>
      <c r="B3" s="5">
        <v>45930</v>
      </c>
      <c r="C3" s="5"/>
    </row>
    <row r="4" spans="1:9" x14ac:dyDescent="0.2">
      <c r="A4" t="s">
        <v>4</v>
      </c>
      <c r="B4" t="s">
        <v>19</v>
      </c>
      <c r="C4" t="s">
        <v>50</v>
      </c>
    </row>
    <row r="6" spans="1:9" x14ac:dyDescent="0.2">
      <c r="A6" t="s">
        <v>6</v>
      </c>
      <c r="B6" t="s">
        <v>24</v>
      </c>
      <c r="C6" t="s">
        <v>25</v>
      </c>
      <c r="D6" t="s">
        <v>8</v>
      </c>
      <c r="E6" t="s">
        <v>9</v>
      </c>
      <c r="F6" t="s">
        <v>10</v>
      </c>
      <c r="G6" t="s">
        <v>8</v>
      </c>
      <c r="H6" t="s">
        <v>9</v>
      </c>
      <c r="I6" t="s">
        <v>14</v>
      </c>
    </row>
    <row r="7" spans="1:9" x14ac:dyDescent="0.2">
      <c r="A7" s="6">
        <v>45838</v>
      </c>
      <c r="B7">
        <v>283.91399999999999</v>
      </c>
      <c r="C7" s="3">
        <f>B7*1000/12</f>
        <v>23659.5</v>
      </c>
      <c r="D7">
        <v>69.574999999999989</v>
      </c>
      <c r="E7">
        <v>32.460261548294987</v>
      </c>
      <c r="F7">
        <v>32.46</v>
      </c>
      <c r="G7">
        <v>39.918999999999997</v>
      </c>
      <c r="H7">
        <v>535.17897841533716</v>
      </c>
    </row>
    <row r="8" spans="1:9" x14ac:dyDescent="0.2">
      <c r="A8" s="6">
        <v>45747</v>
      </c>
      <c r="B8">
        <v>214.339</v>
      </c>
      <c r="C8" s="3">
        <f t="shared" ref="C8:C71" si="0">B8*1000/12</f>
        <v>17861.583333333332</v>
      </c>
      <c r="D8">
        <v>-17.275000000000006</v>
      </c>
      <c r="E8">
        <v>-7.4585301406650739</v>
      </c>
      <c r="F8">
        <v>-7.4589999999999996</v>
      </c>
      <c r="G8">
        <v>-10.817</v>
      </c>
      <c r="H8">
        <v>-322.12626563430615</v>
      </c>
    </row>
    <row r="9" spans="1:9" x14ac:dyDescent="0.2">
      <c r="A9" s="6">
        <v>45657</v>
      </c>
      <c r="B9">
        <v>231.614</v>
      </c>
      <c r="C9" s="3">
        <f t="shared" si="0"/>
        <v>19301.166666666668</v>
      </c>
      <c r="D9">
        <v>7.5250000000000057</v>
      </c>
      <c r="E9">
        <v>3.3580407784407114</v>
      </c>
      <c r="F9">
        <v>3.3580000000000001</v>
      </c>
      <c r="G9">
        <v>10.532</v>
      </c>
      <c r="H9">
        <v>146.80791747978813</v>
      </c>
    </row>
    <row r="10" spans="1:9" x14ac:dyDescent="0.2">
      <c r="A10" s="6">
        <v>45565</v>
      </c>
      <c r="B10">
        <v>224.089</v>
      </c>
      <c r="C10" s="3">
        <f t="shared" si="0"/>
        <v>18674.083333333332</v>
      </c>
      <c r="D10">
        <v>-17.318000000000012</v>
      </c>
      <c r="E10">
        <v>-7.1737770652880863</v>
      </c>
      <c r="F10">
        <v>-7.1740000000000004</v>
      </c>
      <c r="G10">
        <v>-6.8070000000000004</v>
      </c>
      <c r="H10">
        <v>-1854.7683923705724</v>
      </c>
    </row>
    <row r="11" spans="1:9" x14ac:dyDescent="0.2">
      <c r="A11" s="6">
        <v>45471</v>
      </c>
      <c r="B11">
        <v>241.40700000000001</v>
      </c>
      <c r="C11" s="3">
        <f t="shared" si="0"/>
        <v>20117.25</v>
      </c>
      <c r="D11">
        <v>-0.88899999999998158</v>
      </c>
      <c r="E11">
        <v>-0.36690659358800048</v>
      </c>
      <c r="F11">
        <v>-0.36699999999999999</v>
      </c>
      <c r="G11">
        <v>2.9369999999999998</v>
      </c>
      <c r="H11">
        <v>88.892251815980629</v>
      </c>
    </row>
    <row r="12" spans="1:9" x14ac:dyDescent="0.2">
      <c r="A12" s="6">
        <v>45380</v>
      </c>
      <c r="B12">
        <v>242.29599999999999</v>
      </c>
      <c r="C12" s="3">
        <f t="shared" si="0"/>
        <v>20191.333333333332</v>
      </c>
      <c r="D12">
        <v>-8.2800000000000011</v>
      </c>
      <c r="E12">
        <v>-3.3043866930591923</v>
      </c>
      <c r="F12">
        <v>-3.3039999999999998</v>
      </c>
      <c r="G12">
        <v>2.2090000000000001</v>
      </c>
      <c r="H12">
        <v>40.068927988391074</v>
      </c>
    </row>
    <row r="13" spans="1:9" x14ac:dyDescent="0.2">
      <c r="A13" s="6">
        <v>45289</v>
      </c>
      <c r="B13">
        <v>250.57599999999999</v>
      </c>
      <c r="C13" s="3">
        <f t="shared" si="0"/>
        <v>20881.333333333332</v>
      </c>
      <c r="D13">
        <v>-14.621000000000009</v>
      </c>
      <c r="E13">
        <v>-5.5132599539210503</v>
      </c>
      <c r="F13">
        <v>-5.5129999999999999</v>
      </c>
      <c r="G13">
        <v>0.32699999999999996</v>
      </c>
      <c r="H13">
        <v>5.5993150684931505</v>
      </c>
    </row>
    <row r="14" spans="1:9" x14ac:dyDescent="0.2">
      <c r="A14" s="6">
        <v>45198</v>
      </c>
      <c r="B14">
        <v>265.197</v>
      </c>
      <c r="C14" s="3">
        <f t="shared" si="0"/>
        <v>22099.75</v>
      </c>
      <c r="D14">
        <v>-16.447000000000003</v>
      </c>
      <c r="E14">
        <v>-5.8396415332831531</v>
      </c>
      <c r="F14">
        <v>-5.84</v>
      </c>
      <c r="G14">
        <v>-37.813000000000002</v>
      </c>
      <c r="H14">
        <v>-118.26541144090328</v>
      </c>
    </row>
    <row r="15" spans="1:9" x14ac:dyDescent="0.2">
      <c r="A15" s="6">
        <v>45107</v>
      </c>
      <c r="B15">
        <v>281.64400000000001</v>
      </c>
      <c r="C15" s="3">
        <f t="shared" si="0"/>
        <v>23470.333333333332</v>
      </c>
      <c r="D15">
        <v>68.234000000000009</v>
      </c>
      <c r="E15">
        <v>31.973197132280589</v>
      </c>
      <c r="F15">
        <v>31.972999999999999</v>
      </c>
      <c r="G15">
        <v>47.325000000000003</v>
      </c>
      <c r="H15">
        <v>308.26602397081814</v>
      </c>
    </row>
    <row r="16" spans="1:9" x14ac:dyDescent="0.2">
      <c r="A16" s="6">
        <v>45016</v>
      </c>
      <c r="B16">
        <v>213.41</v>
      </c>
      <c r="C16" s="3">
        <f t="shared" si="0"/>
        <v>17784.166666666668</v>
      </c>
      <c r="D16">
        <v>-38.705000000000013</v>
      </c>
      <c r="E16">
        <v>-15.352121055867366</v>
      </c>
      <c r="F16">
        <v>-15.352</v>
      </c>
      <c r="G16">
        <v>-0.92600000000000016</v>
      </c>
      <c r="H16">
        <v>-6.4189657562733968</v>
      </c>
    </row>
    <row r="17" spans="1:8" x14ac:dyDescent="0.2">
      <c r="A17" s="6">
        <v>44925</v>
      </c>
      <c r="B17">
        <v>252.11500000000001</v>
      </c>
      <c r="C17" s="3">
        <f t="shared" si="0"/>
        <v>21009.583333333332</v>
      </c>
      <c r="D17">
        <v>-42.5</v>
      </c>
      <c r="E17">
        <v>-14.425606299747127</v>
      </c>
      <c r="F17">
        <v>-14.426</v>
      </c>
      <c r="G17">
        <v>-22.121000000000002</v>
      </c>
      <c r="H17">
        <v>-287.47238466536714</v>
      </c>
    </row>
    <row r="18" spans="1:8" x14ac:dyDescent="0.2">
      <c r="A18" s="6">
        <v>44834</v>
      </c>
      <c r="B18">
        <v>294.61500000000001</v>
      </c>
      <c r="C18" s="3">
        <f t="shared" si="0"/>
        <v>24551.25</v>
      </c>
      <c r="D18">
        <v>21.050000000000011</v>
      </c>
      <c r="E18">
        <v>7.6946977866320649</v>
      </c>
      <c r="F18">
        <v>7.6950000000000003</v>
      </c>
      <c r="G18">
        <v>-3.6509999999999998</v>
      </c>
      <c r="H18">
        <v>-32.178741406663136</v>
      </c>
    </row>
    <row r="19" spans="1:8" x14ac:dyDescent="0.2">
      <c r="A19" s="6">
        <v>44742</v>
      </c>
      <c r="B19">
        <v>273.565</v>
      </c>
      <c r="C19" s="3">
        <f t="shared" si="0"/>
        <v>22797.083333333332</v>
      </c>
      <c r="D19">
        <v>27.875</v>
      </c>
      <c r="E19">
        <v>11.345598111441248</v>
      </c>
      <c r="F19">
        <v>11.346</v>
      </c>
      <c r="G19">
        <v>11.948</v>
      </c>
      <c r="H19">
        <v>1984.717607973422</v>
      </c>
    </row>
    <row r="20" spans="1:8" x14ac:dyDescent="0.2">
      <c r="A20" s="6">
        <v>44651</v>
      </c>
      <c r="B20">
        <v>245.69</v>
      </c>
      <c r="C20" s="3">
        <f t="shared" si="0"/>
        <v>20474.166666666668</v>
      </c>
      <c r="D20">
        <v>-1.4890000000000043</v>
      </c>
      <c r="E20">
        <v>-0.60239745285805202</v>
      </c>
      <c r="F20">
        <v>-0.60199999999999998</v>
      </c>
      <c r="G20">
        <v>0.80799999999999994</v>
      </c>
      <c r="H20">
        <v>57.304964539007095</v>
      </c>
    </row>
    <row r="21" spans="1:8" x14ac:dyDescent="0.2">
      <c r="A21" s="6">
        <v>44561</v>
      </c>
      <c r="B21">
        <v>247.179</v>
      </c>
      <c r="C21" s="3">
        <f t="shared" si="0"/>
        <v>20598.25</v>
      </c>
      <c r="D21">
        <v>-3.5349999999999966</v>
      </c>
      <c r="E21">
        <v>-1.4099731167784793</v>
      </c>
      <c r="F21">
        <v>-1.41</v>
      </c>
      <c r="G21">
        <v>10.238999999999999</v>
      </c>
      <c r="H21">
        <v>87.895956734483647</v>
      </c>
    </row>
    <row r="22" spans="1:8" x14ac:dyDescent="0.2">
      <c r="A22" s="6">
        <v>44469</v>
      </c>
      <c r="B22">
        <v>250.714</v>
      </c>
      <c r="C22" s="3">
        <f t="shared" si="0"/>
        <v>20892.833333333332</v>
      </c>
      <c r="D22">
        <v>-33.055000000000007</v>
      </c>
      <c r="E22">
        <v>-11.648559215418178</v>
      </c>
      <c r="F22">
        <v>-11.648999999999999</v>
      </c>
      <c r="G22">
        <v>-0.36999999999999922</v>
      </c>
      <c r="H22">
        <v>-3.2804326624700701</v>
      </c>
    </row>
    <row r="23" spans="1:8" x14ac:dyDescent="0.2">
      <c r="A23" s="6">
        <v>44377</v>
      </c>
      <c r="B23">
        <v>283.76900000000001</v>
      </c>
      <c r="C23" s="3">
        <f t="shared" si="0"/>
        <v>23647.416666666668</v>
      </c>
      <c r="D23">
        <v>-36.074000000000012</v>
      </c>
      <c r="E23">
        <v>-11.278658591871642</v>
      </c>
      <c r="F23">
        <v>-11.279</v>
      </c>
      <c r="G23">
        <v>-44.313999999999993</v>
      </c>
      <c r="H23">
        <v>-134.1425760556985</v>
      </c>
    </row>
    <row r="24" spans="1:8" x14ac:dyDescent="0.2">
      <c r="A24" s="6">
        <v>44286</v>
      </c>
      <c r="B24">
        <v>319.84300000000002</v>
      </c>
      <c r="C24" s="3">
        <f t="shared" si="0"/>
        <v>26653.583333333332</v>
      </c>
      <c r="D24">
        <v>79.422000000000025</v>
      </c>
      <c r="E24">
        <v>33.034551890225906</v>
      </c>
      <c r="F24">
        <v>33.034999999999997</v>
      </c>
      <c r="G24">
        <v>20.937999999999995</v>
      </c>
      <c r="H24">
        <v>173.08423576093244</v>
      </c>
    </row>
    <row r="25" spans="1:8" x14ac:dyDescent="0.2">
      <c r="A25" s="6">
        <v>44196</v>
      </c>
      <c r="B25">
        <v>240.42099999999999</v>
      </c>
      <c r="C25" s="3">
        <f t="shared" si="0"/>
        <v>20035.083333333332</v>
      </c>
      <c r="D25">
        <v>25.944999999999993</v>
      </c>
      <c r="E25">
        <v>12.096924597623973</v>
      </c>
      <c r="F25">
        <v>12.097</v>
      </c>
      <c r="G25">
        <v>11.482999999999999</v>
      </c>
      <c r="H25">
        <v>1870.1954397394136</v>
      </c>
    </row>
    <row r="26" spans="1:8" x14ac:dyDescent="0.2">
      <c r="A26" s="6">
        <v>44104</v>
      </c>
      <c r="B26">
        <v>214.476</v>
      </c>
      <c r="C26" s="3">
        <f t="shared" si="0"/>
        <v>17873</v>
      </c>
      <c r="D26">
        <v>1.3089999999999975</v>
      </c>
      <c r="E26">
        <v>0.61407253467938161</v>
      </c>
      <c r="F26">
        <v>0.61399999999999999</v>
      </c>
      <c r="G26">
        <v>-12.103</v>
      </c>
      <c r="H26">
        <v>-95.171817252496652</v>
      </c>
    </row>
    <row r="27" spans="1:8" x14ac:dyDescent="0.2">
      <c r="A27" s="6">
        <v>44012</v>
      </c>
      <c r="B27">
        <v>213.167</v>
      </c>
      <c r="C27" s="3">
        <f t="shared" si="0"/>
        <v>17763.916666666668</v>
      </c>
      <c r="D27">
        <v>24.050000000000011</v>
      </c>
      <c r="E27">
        <v>12.716995299206317</v>
      </c>
      <c r="F27">
        <v>12.717000000000001</v>
      </c>
      <c r="G27">
        <v>17.948</v>
      </c>
      <c r="H27">
        <v>343.10839227681134</v>
      </c>
    </row>
    <row r="28" spans="1:8" x14ac:dyDescent="0.2">
      <c r="A28" s="6">
        <v>43921</v>
      </c>
      <c r="B28">
        <v>189.11699999999999</v>
      </c>
      <c r="C28" s="3">
        <f t="shared" si="0"/>
        <v>15759.75</v>
      </c>
      <c r="D28">
        <v>-10.438000000000017</v>
      </c>
      <c r="E28">
        <v>-5.2306381699280973</v>
      </c>
      <c r="F28">
        <v>-5.2309999999999999</v>
      </c>
      <c r="G28">
        <v>6.4109999999999996</v>
      </c>
      <c r="H28">
        <v>55.067857756399242</v>
      </c>
    </row>
    <row r="29" spans="1:8" x14ac:dyDescent="0.2">
      <c r="A29" s="6">
        <v>43830</v>
      </c>
      <c r="B29">
        <v>199.55500000000001</v>
      </c>
      <c r="C29" s="3">
        <f t="shared" si="0"/>
        <v>16629.583333333332</v>
      </c>
      <c r="D29">
        <v>-26.293000000000006</v>
      </c>
      <c r="E29">
        <v>-11.641900747405337</v>
      </c>
      <c r="F29">
        <v>-11.641999999999999</v>
      </c>
      <c r="G29">
        <v>-4.7279999999999998</v>
      </c>
      <c r="H29">
        <v>-68.382991032687301</v>
      </c>
    </row>
    <row r="30" spans="1:8" x14ac:dyDescent="0.2">
      <c r="A30" s="6">
        <v>43738</v>
      </c>
      <c r="B30">
        <v>225.84800000000001</v>
      </c>
      <c r="C30" s="3">
        <f t="shared" si="0"/>
        <v>18820.666666666668</v>
      </c>
      <c r="D30">
        <v>-16.775999999999982</v>
      </c>
      <c r="E30">
        <v>-6.9144025323133658</v>
      </c>
      <c r="F30">
        <v>-6.9139999999999997</v>
      </c>
      <c r="G30">
        <v>-32.89</v>
      </c>
      <c r="H30">
        <v>-126.61687711733909</v>
      </c>
    </row>
    <row r="31" spans="1:8" x14ac:dyDescent="0.2">
      <c r="A31" s="6">
        <v>43644</v>
      </c>
      <c r="B31">
        <v>242.624</v>
      </c>
      <c r="C31" s="3">
        <f t="shared" si="0"/>
        <v>20218.666666666668</v>
      </c>
      <c r="D31">
        <v>50.027999999999992</v>
      </c>
      <c r="E31">
        <v>25.975617354462187</v>
      </c>
      <c r="F31">
        <v>25.975999999999999</v>
      </c>
      <c r="G31">
        <v>36.391999999999996</v>
      </c>
      <c r="H31">
        <v>349.38556067588326</v>
      </c>
    </row>
    <row r="32" spans="1:8" x14ac:dyDescent="0.2">
      <c r="A32" s="6">
        <v>43553</v>
      </c>
      <c r="B32">
        <v>192.596</v>
      </c>
      <c r="C32" s="3">
        <f t="shared" si="0"/>
        <v>16049.666666666666</v>
      </c>
      <c r="D32">
        <v>-22.394000000000005</v>
      </c>
      <c r="E32">
        <v>-10.416298432485235</v>
      </c>
      <c r="F32">
        <v>-10.416</v>
      </c>
      <c r="G32">
        <v>-21.523</v>
      </c>
      <c r="H32">
        <v>-193.77869811830379</v>
      </c>
    </row>
    <row r="33" spans="1:8" x14ac:dyDescent="0.2">
      <c r="A33" s="6">
        <v>43465</v>
      </c>
      <c r="B33">
        <v>214.99</v>
      </c>
      <c r="C33" s="3">
        <f t="shared" si="0"/>
        <v>17915.833333333332</v>
      </c>
      <c r="D33">
        <v>21.492000000000019</v>
      </c>
      <c r="E33">
        <v>11.107091546165861</v>
      </c>
      <c r="F33">
        <v>11.106999999999999</v>
      </c>
      <c r="G33">
        <v>31.116</v>
      </c>
      <c r="H33">
        <v>155.51002049077914</v>
      </c>
    </row>
    <row r="34" spans="1:8" x14ac:dyDescent="0.2">
      <c r="A34" s="6">
        <v>43371</v>
      </c>
      <c r="B34">
        <v>193.49799999999999</v>
      </c>
      <c r="C34" s="3">
        <f t="shared" si="0"/>
        <v>16124.833333333334</v>
      </c>
      <c r="D34">
        <v>-48.40100000000001</v>
      </c>
      <c r="E34">
        <v>-20.008763988276105</v>
      </c>
      <c r="F34">
        <v>-20.009</v>
      </c>
      <c r="G34">
        <v>-29.353999999999999</v>
      </c>
      <c r="H34">
        <v>-314.11449973247727</v>
      </c>
    </row>
    <row r="35" spans="1:8" x14ac:dyDescent="0.2">
      <c r="A35" s="6">
        <v>43280</v>
      </c>
      <c r="B35">
        <v>241.899</v>
      </c>
      <c r="C35" s="3">
        <f t="shared" si="0"/>
        <v>20158.25</v>
      </c>
      <c r="D35">
        <v>20.673000000000002</v>
      </c>
      <c r="E35">
        <v>9.3447424805402637</v>
      </c>
      <c r="F35">
        <v>9.3450000000000006</v>
      </c>
      <c r="G35">
        <v>6.1170000000000009</v>
      </c>
      <c r="H35">
        <v>189.49814126394051</v>
      </c>
    </row>
    <row r="36" spans="1:8" x14ac:dyDescent="0.2">
      <c r="A36" s="6">
        <v>43189</v>
      </c>
      <c r="B36">
        <v>221.226</v>
      </c>
      <c r="C36" s="3">
        <f t="shared" si="0"/>
        <v>18435.5</v>
      </c>
      <c r="D36">
        <v>6.9170000000000016</v>
      </c>
      <c r="E36">
        <v>3.2275826026905086</v>
      </c>
      <c r="F36">
        <v>3.2280000000000002</v>
      </c>
      <c r="G36">
        <v>5.1760000000000002</v>
      </c>
      <c r="H36">
        <v>265.70841889117042</v>
      </c>
    </row>
    <row r="37" spans="1:8" x14ac:dyDescent="0.2">
      <c r="A37" s="6">
        <v>43098</v>
      </c>
      <c r="B37">
        <v>214.309</v>
      </c>
      <c r="C37" s="3">
        <f t="shared" si="0"/>
        <v>17859.083333333332</v>
      </c>
      <c r="D37">
        <v>-4.257000000000005</v>
      </c>
      <c r="E37">
        <v>-1.9476954329584679</v>
      </c>
      <c r="F37">
        <v>-1.948</v>
      </c>
      <c r="G37">
        <v>-6.4700000000000006</v>
      </c>
      <c r="H37">
        <v>-143.07828394515704</v>
      </c>
    </row>
    <row r="38" spans="1:8" x14ac:dyDescent="0.2">
      <c r="A38" s="6">
        <v>43007</v>
      </c>
      <c r="B38">
        <v>218.566</v>
      </c>
      <c r="C38" s="3">
        <f t="shared" si="0"/>
        <v>18213.833333333332</v>
      </c>
      <c r="D38">
        <v>9.4550000000000125</v>
      </c>
      <c r="E38">
        <v>4.5215220624453103</v>
      </c>
      <c r="F38">
        <v>4.5220000000000002</v>
      </c>
      <c r="G38">
        <v>19.366</v>
      </c>
      <c r="H38">
        <v>130.46348693074643</v>
      </c>
    </row>
    <row r="39" spans="1:8" x14ac:dyDescent="0.2">
      <c r="A39" s="6">
        <v>42916</v>
      </c>
      <c r="B39">
        <v>209.11099999999999</v>
      </c>
      <c r="C39" s="3">
        <f t="shared" si="0"/>
        <v>17425.916666666668</v>
      </c>
      <c r="D39">
        <v>-36.451000000000022</v>
      </c>
      <c r="E39">
        <v>-14.843909073879518</v>
      </c>
      <c r="F39">
        <v>-14.843999999999999</v>
      </c>
      <c r="G39">
        <v>-35.994</v>
      </c>
      <c r="H39">
        <v>-170.18439716312059</v>
      </c>
    </row>
    <row r="40" spans="1:8" x14ac:dyDescent="0.2">
      <c r="A40" s="6">
        <v>42825</v>
      </c>
      <c r="B40">
        <v>245.56200000000001</v>
      </c>
      <c r="C40" s="3">
        <f t="shared" si="0"/>
        <v>20463.5</v>
      </c>
      <c r="D40">
        <v>42.869</v>
      </c>
      <c r="E40">
        <v>21.149719033217721</v>
      </c>
      <c r="F40">
        <v>21.15</v>
      </c>
      <c r="G40">
        <v>27.116999999999997</v>
      </c>
      <c r="H40">
        <v>454.44947209653094</v>
      </c>
    </row>
    <row r="41" spans="1:8" x14ac:dyDescent="0.2">
      <c r="A41" s="6">
        <v>42734</v>
      </c>
      <c r="B41">
        <v>202.69300000000001</v>
      </c>
      <c r="C41" s="3">
        <f t="shared" si="0"/>
        <v>16891.083333333332</v>
      </c>
      <c r="D41">
        <v>-12.863</v>
      </c>
      <c r="E41">
        <v>-5.9673588301879787</v>
      </c>
      <c r="F41">
        <v>-5.9669999999999996</v>
      </c>
      <c r="G41">
        <v>-4.8140000000000001</v>
      </c>
      <c r="H41">
        <v>-417.51951431049434</v>
      </c>
    </row>
    <row r="42" spans="1:8" x14ac:dyDescent="0.2">
      <c r="A42" s="6">
        <v>42643</v>
      </c>
      <c r="B42">
        <v>215.55600000000001</v>
      </c>
      <c r="C42" s="3">
        <f t="shared" si="0"/>
        <v>17963</v>
      </c>
      <c r="D42">
        <v>-2.5139999999999816</v>
      </c>
      <c r="E42">
        <v>-1.1528408309258411</v>
      </c>
      <c r="F42">
        <v>-1.153</v>
      </c>
      <c r="G42">
        <v>-9.5530000000000008</v>
      </c>
      <c r="H42">
        <v>-113.72619047619048</v>
      </c>
    </row>
    <row r="43" spans="1:8" x14ac:dyDescent="0.2">
      <c r="A43" s="6">
        <v>42551</v>
      </c>
      <c r="B43">
        <v>218.07</v>
      </c>
      <c r="C43" s="3">
        <f t="shared" si="0"/>
        <v>18172.5</v>
      </c>
      <c r="D43">
        <v>16.897999999999996</v>
      </c>
      <c r="E43">
        <v>8.3997773049927407</v>
      </c>
      <c r="F43">
        <v>8.4</v>
      </c>
      <c r="G43">
        <v>-9.0739999999999998</v>
      </c>
      <c r="H43">
        <v>-51.92857960398306</v>
      </c>
    </row>
    <row r="44" spans="1:8" x14ac:dyDescent="0.2">
      <c r="A44" s="6">
        <v>42460</v>
      </c>
      <c r="B44">
        <v>201.172</v>
      </c>
      <c r="C44" s="3">
        <f t="shared" si="0"/>
        <v>16764.333333333332</v>
      </c>
      <c r="D44">
        <v>29.924000000000007</v>
      </c>
      <c r="E44">
        <v>17.474072689900034</v>
      </c>
      <c r="F44">
        <v>17.474</v>
      </c>
      <c r="G44">
        <v>41.179000000000002</v>
      </c>
      <c r="H44">
        <v>173.7144062434086</v>
      </c>
    </row>
    <row r="45" spans="1:8" x14ac:dyDescent="0.2">
      <c r="A45" s="6">
        <v>42369</v>
      </c>
      <c r="B45">
        <v>171.24799999999999</v>
      </c>
      <c r="C45" s="3">
        <f t="shared" si="0"/>
        <v>14270.666666666666</v>
      </c>
      <c r="D45">
        <v>-53.207000000000022</v>
      </c>
      <c r="E45">
        <v>-23.704974271012016</v>
      </c>
      <c r="F45">
        <v>-23.704999999999998</v>
      </c>
      <c r="G45">
        <v>-34.891999999999996</v>
      </c>
      <c r="H45">
        <v>-311.89773844641104</v>
      </c>
    </row>
    <row r="46" spans="1:8" x14ac:dyDescent="0.2">
      <c r="A46" s="6">
        <v>42277</v>
      </c>
      <c r="B46">
        <v>224.45500000000001</v>
      </c>
      <c r="C46" s="3">
        <f t="shared" si="0"/>
        <v>18704.583333333332</v>
      </c>
      <c r="D46">
        <v>22.584000000000003</v>
      </c>
      <c r="E46">
        <v>11.187342411738191</v>
      </c>
      <c r="F46">
        <v>11.186999999999999</v>
      </c>
      <c r="G46">
        <v>6.371999999999999</v>
      </c>
      <c r="H46">
        <v>132.33644859813083</v>
      </c>
    </row>
    <row r="47" spans="1:8" x14ac:dyDescent="0.2">
      <c r="A47" s="6">
        <v>42185</v>
      </c>
      <c r="B47">
        <v>201.87100000000001</v>
      </c>
      <c r="C47" s="3">
        <f t="shared" si="0"/>
        <v>16822.583333333332</v>
      </c>
      <c r="D47">
        <v>9.2740000000000009</v>
      </c>
      <c r="E47">
        <v>4.8152359590232461</v>
      </c>
      <c r="F47">
        <v>4.8150000000000004</v>
      </c>
      <c r="G47">
        <v>-3.8150000000000004</v>
      </c>
      <c r="H47">
        <v>-44.206257242178452</v>
      </c>
    </row>
    <row r="48" spans="1:8" x14ac:dyDescent="0.2">
      <c r="A48" s="6">
        <v>42094</v>
      </c>
      <c r="B48">
        <v>192.59700000000001</v>
      </c>
      <c r="C48" s="3">
        <f t="shared" si="0"/>
        <v>16049.75</v>
      </c>
      <c r="D48">
        <v>15.301000000000016</v>
      </c>
      <c r="E48">
        <v>8.6302003429293492</v>
      </c>
      <c r="F48">
        <v>8.6300000000000008</v>
      </c>
      <c r="G48">
        <v>16.155000000000001</v>
      </c>
      <c r="H48">
        <v>214.68438538205979</v>
      </c>
    </row>
    <row r="49" spans="1:8" x14ac:dyDescent="0.2">
      <c r="A49" s="6">
        <v>42004</v>
      </c>
      <c r="B49">
        <v>177.29599999999999</v>
      </c>
      <c r="C49" s="3">
        <f t="shared" si="0"/>
        <v>14774.666666666666</v>
      </c>
      <c r="D49">
        <v>-14.427999999999997</v>
      </c>
      <c r="E49">
        <v>-7.5254010974108603</v>
      </c>
      <c r="F49">
        <v>-7.5250000000000004</v>
      </c>
      <c r="G49">
        <v>-5.8380000000000001</v>
      </c>
      <c r="H49">
        <v>-346.05809128630699</v>
      </c>
    </row>
    <row r="50" spans="1:8" x14ac:dyDescent="0.2">
      <c r="A50" s="6">
        <v>41912</v>
      </c>
      <c r="B50">
        <v>191.72399999999999</v>
      </c>
      <c r="C50" s="3">
        <f t="shared" si="0"/>
        <v>15977</v>
      </c>
      <c r="D50">
        <v>-3.2900000000000205</v>
      </c>
      <c r="E50">
        <v>-1.6870583650404691</v>
      </c>
      <c r="F50">
        <v>-1.6870000000000001</v>
      </c>
      <c r="G50">
        <v>-21.514000000000003</v>
      </c>
      <c r="H50">
        <v>-108.50859938467745</v>
      </c>
    </row>
    <row r="51" spans="1:8" x14ac:dyDescent="0.2">
      <c r="A51" s="6">
        <v>41820</v>
      </c>
      <c r="B51">
        <v>195.01400000000001</v>
      </c>
      <c r="C51" s="3">
        <f t="shared" si="0"/>
        <v>16251.166666666666</v>
      </c>
      <c r="D51">
        <v>32.268000000000001</v>
      </c>
      <c r="E51">
        <v>19.827215415432637</v>
      </c>
      <c r="F51">
        <v>19.827000000000002</v>
      </c>
      <c r="G51">
        <v>32.103000000000002</v>
      </c>
      <c r="H51">
        <v>261.51026392961876</v>
      </c>
    </row>
    <row r="52" spans="1:8" x14ac:dyDescent="0.2">
      <c r="A52" s="6">
        <v>41729</v>
      </c>
      <c r="B52">
        <v>162.74600000000001</v>
      </c>
      <c r="C52" s="3">
        <f t="shared" si="0"/>
        <v>13562.166666666666</v>
      </c>
      <c r="D52">
        <v>-22.774999999999977</v>
      </c>
      <c r="E52">
        <v>-12.276238269522038</v>
      </c>
      <c r="F52">
        <v>-12.276</v>
      </c>
      <c r="G52">
        <v>-7.5019999999999998</v>
      </c>
      <c r="H52">
        <v>-157.14285714285714</v>
      </c>
    </row>
    <row r="53" spans="1:8" x14ac:dyDescent="0.2">
      <c r="A53" s="6">
        <v>41639</v>
      </c>
      <c r="B53">
        <v>185.52099999999999</v>
      </c>
      <c r="C53" s="3">
        <f t="shared" si="0"/>
        <v>15460.083333333334</v>
      </c>
      <c r="D53">
        <v>-9.3000000000000114</v>
      </c>
      <c r="E53">
        <v>-4.7736127008895402</v>
      </c>
      <c r="F53">
        <v>-4.774</v>
      </c>
      <c r="G53">
        <v>-6.444</v>
      </c>
      <c r="H53">
        <v>-385.8682634730539</v>
      </c>
    </row>
    <row r="54" spans="1:8" x14ac:dyDescent="0.2">
      <c r="A54" s="6">
        <v>41547</v>
      </c>
      <c r="B54">
        <v>194.821</v>
      </c>
      <c r="C54" s="3">
        <f t="shared" si="0"/>
        <v>16235.083333333334</v>
      </c>
      <c r="D54">
        <v>3.2009999999999934</v>
      </c>
      <c r="E54">
        <v>1.6704936854190551</v>
      </c>
      <c r="F54">
        <v>1.67</v>
      </c>
      <c r="G54">
        <v>-3.6210000000000004</v>
      </c>
      <c r="H54">
        <v>-68.436968436968442</v>
      </c>
    </row>
    <row r="55" spans="1:8" x14ac:dyDescent="0.2">
      <c r="A55" s="6">
        <v>41453</v>
      </c>
      <c r="B55">
        <v>191.62</v>
      </c>
      <c r="C55" s="3">
        <f t="shared" si="0"/>
        <v>15968.333333333334</v>
      </c>
      <c r="D55">
        <v>9.6299999999999955</v>
      </c>
      <c r="E55">
        <v>5.2914995329413674</v>
      </c>
      <c r="F55">
        <v>5.2910000000000004</v>
      </c>
      <c r="G55">
        <v>14.298</v>
      </c>
      <c r="H55">
        <v>158.74319973354059</v>
      </c>
    </row>
    <row r="56" spans="1:8" x14ac:dyDescent="0.2">
      <c r="A56" s="6">
        <v>41362</v>
      </c>
      <c r="B56">
        <v>181.99</v>
      </c>
      <c r="C56" s="3">
        <f t="shared" si="0"/>
        <v>15165.833333333334</v>
      </c>
      <c r="D56">
        <v>-18.014999999999986</v>
      </c>
      <c r="E56">
        <v>-9.0072748181295399</v>
      </c>
      <c r="F56">
        <v>-9.0069999999999997</v>
      </c>
      <c r="G56">
        <v>1.6479999999999997</v>
      </c>
      <c r="H56">
        <v>15.466916940403562</v>
      </c>
    </row>
    <row r="57" spans="1:8" x14ac:dyDescent="0.2">
      <c r="A57" s="6">
        <v>41274</v>
      </c>
      <c r="B57">
        <v>200.005</v>
      </c>
      <c r="C57" s="3">
        <f t="shared" si="0"/>
        <v>16667.083333333332</v>
      </c>
      <c r="D57">
        <v>-23.850999999999999</v>
      </c>
      <c r="E57">
        <v>-10.654617253948967</v>
      </c>
      <c r="F57">
        <v>-10.654999999999999</v>
      </c>
      <c r="G57">
        <v>-11.737</v>
      </c>
      <c r="H57">
        <v>-1084.7504621072089</v>
      </c>
    </row>
    <row r="58" spans="1:8" x14ac:dyDescent="0.2">
      <c r="A58" s="6">
        <v>41180</v>
      </c>
      <c r="B58">
        <v>223.85599999999999</v>
      </c>
      <c r="C58" s="3">
        <f t="shared" si="0"/>
        <v>18654.666666666668</v>
      </c>
      <c r="D58">
        <v>2.3969999999999914</v>
      </c>
      <c r="E58">
        <v>1.0823673908037115</v>
      </c>
      <c r="F58">
        <v>1.0820000000000001</v>
      </c>
      <c r="G58">
        <v>-2.4710000000000001</v>
      </c>
      <c r="H58">
        <v>-69.546861806923729</v>
      </c>
    </row>
    <row r="59" spans="1:8" x14ac:dyDescent="0.2">
      <c r="A59" s="6">
        <v>41089</v>
      </c>
      <c r="B59">
        <v>221.459</v>
      </c>
      <c r="C59" s="3">
        <f t="shared" si="0"/>
        <v>18454.916666666668</v>
      </c>
      <c r="D59">
        <v>7.5980000000000132</v>
      </c>
      <c r="E59">
        <v>3.5527749332510434</v>
      </c>
      <c r="F59">
        <v>3.5529999999999999</v>
      </c>
      <c r="G59">
        <v>-3.2770000000000001</v>
      </c>
      <c r="H59">
        <v>-47.979502196193266</v>
      </c>
    </row>
    <row r="60" spans="1:8" x14ac:dyDescent="0.2">
      <c r="A60" s="6">
        <v>40998</v>
      </c>
      <c r="B60">
        <v>213.86099999999999</v>
      </c>
      <c r="C60" s="3">
        <f t="shared" si="0"/>
        <v>17821.75</v>
      </c>
      <c r="D60">
        <v>13.671999999999997</v>
      </c>
      <c r="E60">
        <v>6.8295460789553868</v>
      </c>
      <c r="F60">
        <v>6.83</v>
      </c>
      <c r="G60">
        <v>11.216000000000001</v>
      </c>
      <c r="H60">
        <v>255.72275421796627</v>
      </c>
    </row>
    <row r="61" spans="1:8" x14ac:dyDescent="0.2">
      <c r="A61" s="6">
        <v>40907</v>
      </c>
      <c r="B61">
        <v>200.18899999999999</v>
      </c>
      <c r="C61" s="3">
        <f t="shared" si="0"/>
        <v>16682.416666666668</v>
      </c>
      <c r="D61">
        <v>-9.1820000000000164</v>
      </c>
      <c r="E61">
        <v>-4.3855166188249646</v>
      </c>
      <c r="F61">
        <v>-4.3860000000000001</v>
      </c>
      <c r="G61">
        <v>-11.013</v>
      </c>
      <c r="H61">
        <v>-166.18379357175192</v>
      </c>
    </row>
    <row r="62" spans="1:8" x14ac:dyDescent="0.2">
      <c r="A62" s="6">
        <v>40816</v>
      </c>
      <c r="B62">
        <v>209.37100000000001</v>
      </c>
      <c r="C62" s="3">
        <f t="shared" si="0"/>
        <v>17447.583333333332</v>
      </c>
      <c r="D62">
        <v>13.013000000000005</v>
      </c>
      <c r="E62">
        <v>6.6271809653795648</v>
      </c>
      <c r="F62">
        <v>6.6269999999999998</v>
      </c>
      <c r="G62">
        <v>0.53299999999999947</v>
      </c>
      <c r="H62">
        <v>8.7463078437807589</v>
      </c>
    </row>
    <row r="63" spans="1:8" x14ac:dyDescent="0.2">
      <c r="A63" s="6">
        <v>40724</v>
      </c>
      <c r="B63">
        <v>196.358</v>
      </c>
      <c r="C63" s="3">
        <f t="shared" si="0"/>
        <v>16363.166666666666</v>
      </c>
      <c r="D63">
        <v>11.277999999999992</v>
      </c>
      <c r="E63">
        <v>6.0935811540955216</v>
      </c>
      <c r="F63">
        <v>6.0940000000000003</v>
      </c>
      <c r="G63">
        <v>-4.8500000000000005</v>
      </c>
      <c r="H63">
        <v>-44.316520467836256</v>
      </c>
    </row>
    <row r="64" spans="1:8" x14ac:dyDescent="0.2">
      <c r="A64" s="6">
        <v>40633</v>
      </c>
      <c r="B64">
        <v>185.08</v>
      </c>
      <c r="C64" s="3">
        <f t="shared" si="0"/>
        <v>15423.333333333334</v>
      </c>
      <c r="D64">
        <v>18.257000000000005</v>
      </c>
      <c r="E64">
        <v>10.943934589355187</v>
      </c>
      <c r="F64">
        <v>10.944000000000001</v>
      </c>
      <c r="G64">
        <v>21.579000000000001</v>
      </c>
      <c r="H64">
        <v>202.90550070521863</v>
      </c>
    </row>
    <row r="65" spans="1:8" x14ac:dyDescent="0.2">
      <c r="A65" s="6">
        <v>40543</v>
      </c>
      <c r="B65">
        <v>166.82300000000001</v>
      </c>
      <c r="C65" s="3">
        <f t="shared" si="0"/>
        <v>13901.916666666666</v>
      </c>
      <c r="D65">
        <v>-19.853999999999985</v>
      </c>
      <c r="E65">
        <v>-10.635482678637425</v>
      </c>
      <c r="F65">
        <v>-10.635</v>
      </c>
      <c r="G65">
        <v>-8.3179999999999996</v>
      </c>
      <c r="H65">
        <v>-358.99870522227013</v>
      </c>
    </row>
    <row r="66" spans="1:8" x14ac:dyDescent="0.2">
      <c r="A66" s="6">
        <v>40451</v>
      </c>
      <c r="B66">
        <v>186.67699999999999</v>
      </c>
      <c r="C66" s="3">
        <f t="shared" si="0"/>
        <v>15556.416666666666</v>
      </c>
      <c r="D66">
        <v>-4.4270000000000209</v>
      </c>
      <c r="E66">
        <v>-2.3165396851975997</v>
      </c>
      <c r="F66">
        <v>-2.3170000000000002</v>
      </c>
      <c r="G66">
        <v>0.30499999999999972</v>
      </c>
      <c r="H66">
        <v>11.632341723874895</v>
      </c>
    </row>
    <row r="67" spans="1:8" x14ac:dyDescent="0.2">
      <c r="A67" s="6">
        <v>40359</v>
      </c>
      <c r="B67">
        <v>191.10400000000001</v>
      </c>
      <c r="C67" s="3">
        <f t="shared" si="0"/>
        <v>15925.333333333334</v>
      </c>
      <c r="D67">
        <v>-5.1449999999999818</v>
      </c>
      <c r="E67">
        <v>-2.6216694097804227</v>
      </c>
      <c r="F67">
        <v>-2.6219999999999999</v>
      </c>
      <c r="G67">
        <v>-15.961</v>
      </c>
      <c r="H67">
        <v>-119.65664592548168</v>
      </c>
    </row>
    <row r="68" spans="1:8" x14ac:dyDescent="0.2">
      <c r="A68" s="6">
        <v>40268</v>
      </c>
      <c r="B68">
        <v>196.249</v>
      </c>
      <c r="C68" s="3">
        <f t="shared" si="0"/>
        <v>16354.083333333334</v>
      </c>
      <c r="D68">
        <v>23.097000000000008</v>
      </c>
      <c r="E68">
        <v>13.339147107743491</v>
      </c>
      <c r="F68">
        <v>13.339</v>
      </c>
      <c r="G68">
        <v>9.4110000000000014</v>
      </c>
      <c r="H68">
        <v>239.58757637474545</v>
      </c>
    </row>
    <row r="69" spans="1:8" x14ac:dyDescent="0.2">
      <c r="A69" s="6">
        <v>40178</v>
      </c>
      <c r="B69">
        <v>173.15199999999999</v>
      </c>
      <c r="C69" s="3">
        <f t="shared" si="0"/>
        <v>14429.333333333334</v>
      </c>
      <c r="D69">
        <v>6.5439999999999827</v>
      </c>
      <c r="E69">
        <v>3.9277825794679622</v>
      </c>
      <c r="F69">
        <v>3.9279999999999999</v>
      </c>
      <c r="G69">
        <v>-12.802</v>
      </c>
      <c r="H69">
        <v>-76.521219366407649</v>
      </c>
    </row>
    <row r="70" spans="1:8" x14ac:dyDescent="0.2">
      <c r="A70" s="6">
        <v>40086</v>
      </c>
      <c r="B70">
        <v>166.608</v>
      </c>
      <c r="C70" s="3">
        <f t="shared" si="0"/>
        <v>13884</v>
      </c>
      <c r="D70">
        <v>23.878999999999991</v>
      </c>
      <c r="E70">
        <v>16.730307085455646</v>
      </c>
      <c r="F70">
        <v>16.73</v>
      </c>
      <c r="G70">
        <v>15.603</v>
      </c>
      <c r="H70">
        <v>1384.4720496894411</v>
      </c>
    </row>
    <row r="71" spans="1:8" x14ac:dyDescent="0.2">
      <c r="A71" s="6">
        <v>39994</v>
      </c>
      <c r="B71">
        <v>142.72900000000001</v>
      </c>
      <c r="C71" s="3">
        <f t="shared" si="0"/>
        <v>11894.083333333334</v>
      </c>
      <c r="D71">
        <v>1.5910000000000082</v>
      </c>
      <c r="E71">
        <v>1.1272655131856821</v>
      </c>
      <c r="F71">
        <v>1.127</v>
      </c>
      <c r="G71">
        <v>7.226</v>
      </c>
      <c r="H71">
        <v>118.47843908837514</v>
      </c>
    </row>
    <row r="72" spans="1:8" x14ac:dyDescent="0.2">
      <c r="A72" s="6">
        <v>39903</v>
      </c>
      <c r="B72">
        <v>141.13800000000001</v>
      </c>
      <c r="C72" s="3">
        <f t="shared" ref="C72:C86" si="1">B72*1000/12</f>
        <v>11761.5</v>
      </c>
      <c r="D72">
        <v>-9.1670000000000016</v>
      </c>
      <c r="E72">
        <v>-6.0989321712517892</v>
      </c>
      <c r="F72">
        <v>-6.0990000000000002</v>
      </c>
      <c r="G72">
        <v>28.385999999999999</v>
      </c>
      <c r="H72">
        <v>82.314049586776861</v>
      </c>
    </row>
    <row r="73" spans="1:8" x14ac:dyDescent="0.2">
      <c r="A73" s="6">
        <v>39813</v>
      </c>
      <c r="B73">
        <v>150.30500000000001</v>
      </c>
      <c r="C73" s="3">
        <f t="shared" si="1"/>
        <v>12525.416666666666</v>
      </c>
      <c r="D73">
        <v>-79.115999999999985</v>
      </c>
      <c r="E73">
        <v>-34.485073293203321</v>
      </c>
      <c r="F73">
        <v>-34.484999999999999</v>
      </c>
      <c r="G73">
        <v>-36.957999999999998</v>
      </c>
      <c r="H73">
        <v>-1494.4601698342094</v>
      </c>
    </row>
    <row r="74" spans="1:8" x14ac:dyDescent="0.2">
      <c r="A74" s="6">
        <v>39721</v>
      </c>
      <c r="B74">
        <v>229.42099999999999</v>
      </c>
      <c r="C74" s="3">
        <f t="shared" si="1"/>
        <v>19118.416666666668</v>
      </c>
      <c r="D74">
        <v>5.5360000000000014</v>
      </c>
      <c r="E74">
        <v>2.4726980369386076</v>
      </c>
      <c r="F74">
        <v>2.4729999999999999</v>
      </c>
      <c r="G74">
        <v>8.1499999999999986</v>
      </c>
      <c r="H74">
        <v>143.56174035582174</v>
      </c>
    </row>
    <row r="75" spans="1:8" x14ac:dyDescent="0.2">
      <c r="A75" s="6">
        <v>39629</v>
      </c>
      <c r="B75">
        <v>223.88499999999999</v>
      </c>
      <c r="C75" s="3">
        <f t="shared" si="1"/>
        <v>18657.083333333332</v>
      </c>
      <c r="D75">
        <v>-13.475000000000023</v>
      </c>
      <c r="E75">
        <v>-5.6770306707111651</v>
      </c>
      <c r="F75">
        <v>-5.6769999999999996</v>
      </c>
      <c r="G75">
        <v>-41.027000000000001</v>
      </c>
      <c r="H75">
        <v>-116.05940594059405</v>
      </c>
    </row>
    <row r="76" spans="1:8" x14ac:dyDescent="0.2">
      <c r="A76" s="6">
        <v>39538</v>
      </c>
      <c r="B76">
        <v>237.36</v>
      </c>
      <c r="C76" s="3">
        <f t="shared" si="1"/>
        <v>19780</v>
      </c>
      <c r="D76">
        <v>61.992000000000019</v>
      </c>
      <c r="E76">
        <v>35.34966470507733</v>
      </c>
      <c r="F76">
        <v>35.35</v>
      </c>
      <c r="G76">
        <v>74.593999999999994</v>
      </c>
      <c r="H76">
        <v>190.07746407094078</v>
      </c>
    </row>
    <row r="77" spans="1:8" x14ac:dyDescent="0.2">
      <c r="A77" s="6">
        <v>39447</v>
      </c>
      <c r="B77">
        <v>175.36799999999999</v>
      </c>
      <c r="C77" s="3">
        <f t="shared" si="1"/>
        <v>14614</v>
      </c>
      <c r="D77">
        <v>-113.27600000000001</v>
      </c>
      <c r="E77">
        <v>-39.244190074971243</v>
      </c>
      <c r="F77">
        <v>-39.244</v>
      </c>
      <c r="G77">
        <v>-65.325999999999993</v>
      </c>
      <c r="H77">
        <v>-250.46392147841419</v>
      </c>
    </row>
    <row r="78" spans="1:8" x14ac:dyDescent="0.2">
      <c r="A78" s="6">
        <v>39353</v>
      </c>
      <c r="B78">
        <v>288.64400000000001</v>
      </c>
      <c r="C78" s="3">
        <f t="shared" si="1"/>
        <v>24053.666666666668</v>
      </c>
      <c r="D78">
        <v>59.710000000000008</v>
      </c>
      <c r="E78">
        <v>26.08175281958993</v>
      </c>
      <c r="F78">
        <v>26.082000000000001</v>
      </c>
      <c r="G78">
        <v>22.371000000000002</v>
      </c>
      <c r="H78">
        <v>602.82942603071956</v>
      </c>
    </row>
    <row r="79" spans="1:8" x14ac:dyDescent="0.2">
      <c r="A79" s="6">
        <v>39262</v>
      </c>
      <c r="B79">
        <v>228.934</v>
      </c>
      <c r="C79" s="3">
        <f t="shared" si="1"/>
        <v>19077.833333333332</v>
      </c>
      <c r="D79">
        <v>8.1920000000000073</v>
      </c>
      <c r="E79">
        <v>3.7111197687798461</v>
      </c>
      <c r="F79">
        <v>3.7109999999999999</v>
      </c>
      <c r="G79">
        <v>-0.91700000000000026</v>
      </c>
      <c r="H79">
        <v>-19.814174589455494</v>
      </c>
    </row>
    <row r="80" spans="1:8" x14ac:dyDescent="0.2">
      <c r="A80" s="6">
        <v>39171</v>
      </c>
      <c r="B80">
        <v>220.74199999999999</v>
      </c>
      <c r="C80" s="3">
        <f t="shared" si="1"/>
        <v>18395.166666666668</v>
      </c>
      <c r="D80">
        <v>9.7649999999999864</v>
      </c>
      <c r="E80">
        <v>4.6284666101044127</v>
      </c>
      <c r="F80">
        <v>4.6280000000000001</v>
      </c>
      <c r="G80">
        <v>1.2770000000000001</v>
      </c>
      <c r="H80">
        <v>38.1080274544912</v>
      </c>
    </row>
    <row r="81" spans="1:8" x14ac:dyDescent="0.2">
      <c r="A81" s="6">
        <v>39080</v>
      </c>
      <c r="B81">
        <v>210.977</v>
      </c>
      <c r="C81" s="3">
        <f t="shared" si="1"/>
        <v>17581.416666666668</v>
      </c>
      <c r="D81">
        <v>6.8400000000000034</v>
      </c>
      <c r="E81">
        <v>3.35069095754322</v>
      </c>
      <c r="F81">
        <v>3.351</v>
      </c>
      <c r="G81">
        <v>18.923999999999999</v>
      </c>
      <c r="H81">
        <v>121.51801194374879</v>
      </c>
    </row>
    <row r="82" spans="1:8" x14ac:dyDescent="0.2">
      <c r="A82" s="6">
        <v>38989</v>
      </c>
      <c r="B82">
        <v>204.137</v>
      </c>
      <c r="C82" s="3">
        <f t="shared" si="1"/>
        <v>17011.416666666668</v>
      </c>
      <c r="D82">
        <v>-37.652999999999992</v>
      </c>
      <c r="E82">
        <v>-15.572604326068074</v>
      </c>
      <c r="F82">
        <v>-15.573</v>
      </c>
      <c r="G82">
        <v>-12.572000000000001</v>
      </c>
      <c r="H82">
        <v>-418.92702432522498</v>
      </c>
    </row>
    <row r="83" spans="1:8" x14ac:dyDescent="0.2">
      <c r="A83" s="6">
        <v>38898</v>
      </c>
      <c r="B83">
        <v>241.79</v>
      </c>
      <c r="C83" s="3">
        <f t="shared" si="1"/>
        <v>20149.166666666668</v>
      </c>
      <c r="D83">
        <v>-7.4800000000000182</v>
      </c>
      <c r="E83">
        <v>-3.0007622256990483</v>
      </c>
      <c r="F83">
        <v>-3.0009999999999999</v>
      </c>
      <c r="G83">
        <v>-9.8109999999999999</v>
      </c>
      <c r="H83">
        <v>-144.06754772393541</v>
      </c>
    </row>
    <row r="84" spans="1:8" x14ac:dyDescent="0.2">
      <c r="A84" s="6">
        <v>38807</v>
      </c>
      <c r="B84">
        <v>249.27</v>
      </c>
      <c r="C84" s="3">
        <f t="shared" si="1"/>
        <v>20772.5</v>
      </c>
      <c r="D84">
        <v>15.894000000000005</v>
      </c>
      <c r="E84">
        <v>6.8104689428218865</v>
      </c>
      <c r="F84">
        <v>6.81</v>
      </c>
      <c r="G84">
        <v>6.2879999999999994</v>
      </c>
      <c r="H84">
        <v>1204.5977011494251</v>
      </c>
    </row>
    <row r="85" spans="1:8" x14ac:dyDescent="0.2">
      <c r="A85" s="6">
        <v>38716</v>
      </c>
      <c r="B85">
        <v>233.376</v>
      </c>
      <c r="C85" s="3">
        <f t="shared" si="1"/>
        <v>19448</v>
      </c>
      <c r="F85">
        <v>0.52200000000000002</v>
      </c>
    </row>
    <row r="86" spans="1:8" x14ac:dyDescent="0.2">
      <c r="A86" s="6">
        <v>38717</v>
      </c>
      <c r="B86">
        <v>229.4</v>
      </c>
      <c r="C86" s="3">
        <f t="shared" si="1"/>
        <v>19116.666666666668</v>
      </c>
      <c r="F86">
        <v>-0.46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A069-544A-4197-B710-786B86C4E7F5}">
  <dimension ref="A1:H86"/>
  <sheetViews>
    <sheetView topLeftCell="A56" workbookViewId="0">
      <selection activeCell="AC85" sqref="AC85"/>
    </sheetView>
  </sheetViews>
  <sheetFormatPr baseColWidth="10" defaultColWidth="8.83203125" defaultRowHeight="15" outlineLevelCol="1" x14ac:dyDescent="0.2"/>
  <cols>
    <col min="1" max="1" width="11.6640625" customWidth="1"/>
    <col min="2" max="2" width="21.5" customWidth="1"/>
    <col min="3" max="7" width="9.1640625" hidden="1" customWidth="1" outlineLevel="1"/>
    <col min="8" max="8" width="9.1640625" collapsed="1"/>
  </cols>
  <sheetData>
    <row r="1" spans="1:8" x14ac:dyDescent="0.2">
      <c r="A1" t="s">
        <v>0</v>
      </c>
      <c r="B1" t="s">
        <v>26</v>
      </c>
    </row>
    <row r="2" spans="1:8" x14ac:dyDescent="0.2">
      <c r="A2" t="s">
        <v>2</v>
      </c>
      <c r="B2" s="5">
        <v>38716</v>
      </c>
    </row>
    <row r="3" spans="1:8" x14ac:dyDescent="0.2">
      <c r="A3" t="s">
        <v>3</v>
      </c>
      <c r="B3" s="5">
        <v>45930</v>
      </c>
    </row>
    <row r="4" spans="1:8" x14ac:dyDescent="0.2">
      <c r="A4" t="s">
        <v>4</v>
      </c>
      <c r="B4" t="s">
        <v>19</v>
      </c>
    </row>
    <row r="6" spans="1:8" x14ac:dyDescent="0.2">
      <c r="A6" t="s">
        <v>6</v>
      </c>
      <c r="B6" t="s">
        <v>27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45930</v>
      </c>
      <c r="B7">
        <v>6.09</v>
      </c>
      <c r="C7">
        <v>0</v>
      </c>
      <c r="D7">
        <v>0</v>
      </c>
      <c r="E7">
        <v>0</v>
      </c>
      <c r="F7">
        <v>6.16</v>
      </c>
      <c r="G7">
        <v>100</v>
      </c>
    </row>
    <row r="8" spans="1:8" x14ac:dyDescent="0.2">
      <c r="A8" s="6">
        <v>45838</v>
      </c>
      <c r="B8">
        <v>6.09</v>
      </c>
      <c r="C8">
        <v>-0.40000000000000036</v>
      </c>
      <c r="D8">
        <v>-6.1633281972265079</v>
      </c>
      <c r="E8">
        <v>-6.16</v>
      </c>
      <c r="F8">
        <v>-6.16</v>
      </c>
      <c r="G8" t="e">
        <v>#DIV/0!</v>
      </c>
    </row>
    <row r="9" spans="1:8" x14ac:dyDescent="0.2">
      <c r="A9" s="6">
        <v>45747</v>
      </c>
      <c r="B9">
        <v>6.49</v>
      </c>
      <c r="C9">
        <v>0</v>
      </c>
      <c r="D9">
        <v>0</v>
      </c>
      <c r="E9">
        <v>0</v>
      </c>
      <c r="F9">
        <v>0</v>
      </c>
      <c r="G9" t="e">
        <v>#DIV/0!</v>
      </c>
    </row>
    <row r="10" spans="1:8" x14ac:dyDescent="0.2">
      <c r="A10" s="6">
        <v>45657</v>
      </c>
      <c r="B10">
        <v>6.49</v>
      </c>
      <c r="C10">
        <v>0</v>
      </c>
      <c r="D10">
        <v>0</v>
      </c>
      <c r="E10">
        <v>0</v>
      </c>
      <c r="F10">
        <v>5.12</v>
      </c>
      <c r="G10">
        <v>100</v>
      </c>
    </row>
    <row r="11" spans="1:8" x14ac:dyDescent="0.2">
      <c r="A11" s="6">
        <v>45565</v>
      </c>
      <c r="B11">
        <v>6.49</v>
      </c>
      <c r="C11">
        <v>-0.34999999999999964</v>
      </c>
      <c r="D11">
        <v>-5.1169590643274807</v>
      </c>
      <c r="E11">
        <v>-5.12</v>
      </c>
      <c r="F11">
        <v>-5.12</v>
      </c>
      <c r="G11" t="e">
        <v>#DIV/0!</v>
      </c>
    </row>
    <row r="12" spans="1:8" x14ac:dyDescent="0.2">
      <c r="A12" s="6">
        <v>45471</v>
      </c>
      <c r="B12">
        <v>6.84</v>
      </c>
      <c r="C12">
        <v>0</v>
      </c>
      <c r="D12">
        <v>0</v>
      </c>
      <c r="E12">
        <v>0</v>
      </c>
      <c r="F12">
        <v>2.84</v>
      </c>
      <c r="G12">
        <v>100</v>
      </c>
    </row>
    <row r="13" spans="1:8" x14ac:dyDescent="0.2">
      <c r="A13" s="6">
        <v>45380</v>
      </c>
      <c r="B13">
        <v>6.84</v>
      </c>
      <c r="C13">
        <v>-0.20000000000000018</v>
      </c>
      <c r="D13">
        <v>-2.8409090909090935</v>
      </c>
      <c r="E13">
        <v>-2.84</v>
      </c>
      <c r="F13">
        <v>-5.76</v>
      </c>
      <c r="G13">
        <v>-197.26027397260273</v>
      </c>
    </row>
    <row r="14" spans="1:8" x14ac:dyDescent="0.2">
      <c r="A14" s="6">
        <v>45289</v>
      </c>
      <c r="B14">
        <v>7.04</v>
      </c>
      <c r="C14">
        <v>0.20000000000000018</v>
      </c>
      <c r="D14">
        <v>2.9239766081871372</v>
      </c>
      <c r="E14">
        <v>2.92</v>
      </c>
      <c r="F14">
        <v>-2.4699999999999998</v>
      </c>
      <c r="G14">
        <v>-45.82560296846011</v>
      </c>
    </row>
    <row r="15" spans="1:8" x14ac:dyDescent="0.2">
      <c r="A15" s="6">
        <v>45198</v>
      </c>
      <c r="B15">
        <v>6.84</v>
      </c>
      <c r="C15">
        <v>0.34999999999999964</v>
      </c>
      <c r="D15">
        <v>5.3929121725731841</v>
      </c>
      <c r="E15">
        <v>5.39</v>
      </c>
      <c r="F15">
        <v>5.39</v>
      </c>
      <c r="G15" t="e">
        <v>#DIV/0!</v>
      </c>
    </row>
    <row r="16" spans="1:8" x14ac:dyDescent="0.2">
      <c r="A16" s="6">
        <v>45107</v>
      </c>
      <c r="B16">
        <v>6.49</v>
      </c>
      <c r="C16">
        <v>0</v>
      </c>
      <c r="D16">
        <v>0</v>
      </c>
      <c r="E16">
        <v>0</v>
      </c>
      <c r="F16">
        <v>0</v>
      </c>
      <c r="G16" t="e">
        <v>#DIV/0!</v>
      </c>
    </row>
    <row r="17" spans="1:7" x14ac:dyDescent="0.2">
      <c r="A17" s="6">
        <v>45016</v>
      </c>
      <c r="B17">
        <v>6.49</v>
      </c>
      <c r="C17">
        <v>0</v>
      </c>
      <c r="D17">
        <v>0</v>
      </c>
      <c r="E17">
        <v>0</v>
      </c>
      <c r="F17">
        <v>-5.7</v>
      </c>
      <c r="G17">
        <v>-100</v>
      </c>
    </row>
    <row r="18" spans="1:7" x14ac:dyDescent="0.2">
      <c r="A18" s="6">
        <v>44925</v>
      </c>
      <c r="B18">
        <v>6.49</v>
      </c>
      <c r="C18">
        <v>0.35000000000000053</v>
      </c>
      <c r="D18">
        <v>5.7003257328990324</v>
      </c>
      <c r="E18">
        <v>5.7</v>
      </c>
      <c r="F18">
        <v>4.04</v>
      </c>
      <c r="G18">
        <v>243.37349397590361</v>
      </c>
    </row>
    <row r="19" spans="1:7" x14ac:dyDescent="0.2">
      <c r="A19" s="6">
        <v>44834</v>
      </c>
      <c r="B19">
        <v>6.14</v>
      </c>
      <c r="C19">
        <v>9.9999999999999645E-2</v>
      </c>
      <c r="D19">
        <v>1.6556291390728417</v>
      </c>
      <c r="E19">
        <v>1.66</v>
      </c>
      <c r="F19">
        <v>-24.44</v>
      </c>
      <c r="G19">
        <v>-93.63984674329501</v>
      </c>
    </row>
    <row r="20" spans="1:7" x14ac:dyDescent="0.2">
      <c r="A20" s="6">
        <v>44742</v>
      </c>
      <c r="B20">
        <v>6.04</v>
      </c>
      <c r="C20">
        <v>1.25</v>
      </c>
      <c r="D20">
        <v>26.096033402922757</v>
      </c>
      <c r="E20">
        <v>26.1</v>
      </c>
      <c r="F20">
        <v>26.1</v>
      </c>
      <c r="G20" t="e">
        <v>#DIV/0!</v>
      </c>
    </row>
    <row r="21" spans="1:7" x14ac:dyDescent="0.2">
      <c r="A21" s="6">
        <v>44651</v>
      </c>
      <c r="B21">
        <v>4.79</v>
      </c>
      <c r="C21">
        <v>0</v>
      </c>
      <c r="D21">
        <v>0</v>
      </c>
      <c r="E21">
        <v>0</v>
      </c>
      <c r="F21">
        <v>0</v>
      </c>
      <c r="G21" t="e">
        <v>#DIV/0!</v>
      </c>
    </row>
    <row r="22" spans="1:7" x14ac:dyDescent="0.2">
      <c r="A22" s="6">
        <v>44561</v>
      </c>
      <c r="B22">
        <v>4.79</v>
      </c>
      <c r="C22">
        <v>0</v>
      </c>
      <c r="D22">
        <v>0</v>
      </c>
      <c r="E22">
        <v>0</v>
      </c>
      <c r="F22">
        <v>0</v>
      </c>
      <c r="G22" t="e">
        <v>#DIV/0!</v>
      </c>
    </row>
    <row r="23" spans="1:7" x14ac:dyDescent="0.2">
      <c r="A23" s="6">
        <v>44469</v>
      </c>
      <c r="B23">
        <v>4.79</v>
      </c>
      <c r="C23">
        <v>0</v>
      </c>
      <c r="D23">
        <v>0</v>
      </c>
      <c r="E23">
        <v>0</v>
      </c>
      <c r="F23">
        <v>0</v>
      </c>
      <c r="G23" t="e">
        <v>#DIV/0!</v>
      </c>
    </row>
    <row r="24" spans="1:7" x14ac:dyDescent="0.2">
      <c r="A24" s="6">
        <v>44377</v>
      </c>
      <c r="B24">
        <v>4.79</v>
      </c>
      <c r="C24">
        <v>0</v>
      </c>
      <c r="D24">
        <v>0</v>
      </c>
      <c r="E24">
        <v>0</v>
      </c>
      <c r="F24">
        <v>0</v>
      </c>
      <c r="G24" t="e">
        <v>#DIV/0!</v>
      </c>
    </row>
    <row r="25" spans="1:7" x14ac:dyDescent="0.2">
      <c r="A25" s="6">
        <v>44286</v>
      </c>
      <c r="B25">
        <v>4.79</v>
      </c>
      <c r="C25">
        <v>0</v>
      </c>
      <c r="D25">
        <v>0</v>
      </c>
      <c r="E25">
        <v>0</v>
      </c>
      <c r="F25">
        <v>0</v>
      </c>
      <c r="G25" t="e">
        <v>#DIV/0!</v>
      </c>
    </row>
    <row r="26" spans="1:7" x14ac:dyDescent="0.2">
      <c r="A26" s="6">
        <v>44196</v>
      </c>
      <c r="B26">
        <v>4.79</v>
      </c>
      <c r="C26">
        <v>0</v>
      </c>
      <c r="D26">
        <v>0</v>
      </c>
      <c r="E26">
        <v>0</v>
      </c>
      <c r="F26">
        <v>3.04</v>
      </c>
      <c r="G26">
        <v>100</v>
      </c>
    </row>
    <row r="27" spans="1:7" x14ac:dyDescent="0.2">
      <c r="A27" s="6">
        <v>44104</v>
      </c>
      <c r="B27">
        <v>4.79</v>
      </c>
      <c r="C27">
        <v>-0.15000000000000036</v>
      </c>
      <c r="D27">
        <v>-3.0364372469635699</v>
      </c>
      <c r="E27">
        <v>-3.04</v>
      </c>
      <c r="F27">
        <v>-1.06</v>
      </c>
      <c r="G27">
        <v>-53.535353535353536</v>
      </c>
    </row>
    <row r="28" spans="1:7" x14ac:dyDescent="0.2">
      <c r="A28" s="6">
        <v>44012</v>
      </c>
      <c r="B28">
        <v>4.9400000000000004</v>
      </c>
      <c r="C28">
        <v>-9.9999999999999645E-2</v>
      </c>
      <c r="D28">
        <v>-1.9841269841269771</v>
      </c>
      <c r="E28">
        <v>-1.98</v>
      </c>
      <c r="F28">
        <v>0.91000000000000014</v>
      </c>
      <c r="G28">
        <v>31.487889273356405</v>
      </c>
    </row>
    <row r="29" spans="1:7" x14ac:dyDescent="0.2">
      <c r="A29" s="6">
        <v>43921</v>
      </c>
      <c r="B29">
        <v>5.04</v>
      </c>
      <c r="C29">
        <v>-0.15000000000000036</v>
      </c>
      <c r="D29">
        <v>-2.890173410404631</v>
      </c>
      <c r="E29">
        <v>-2.89</v>
      </c>
      <c r="F29">
        <v>-2.89</v>
      </c>
      <c r="G29" t="e">
        <v>#DIV/0!</v>
      </c>
    </row>
    <row r="30" spans="1:7" x14ac:dyDescent="0.2">
      <c r="A30" s="6">
        <v>43830</v>
      </c>
      <c r="B30">
        <v>5.19</v>
      </c>
      <c r="C30">
        <v>0</v>
      </c>
      <c r="D30">
        <v>0</v>
      </c>
      <c r="E30">
        <v>0</v>
      </c>
      <c r="F30">
        <v>2.81</v>
      </c>
      <c r="G30">
        <v>100</v>
      </c>
    </row>
    <row r="31" spans="1:7" x14ac:dyDescent="0.2">
      <c r="A31" s="6">
        <v>43738</v>
      </c>
      <c r="B31">
        <v>5.19</v>
      </c>
      <c r="C31">
        <v>-0.14999999999999947</v>
      </c>
      <c r="D31">
        <v>-2.8089887640449338</v>
      </c>
      <c r="E31">
        <v>-2.81</v>
      </c>
      <c r="F31">
        <v>-2.81</v>
      </c>
      <c r="G31" t="e">
        <v>#DIV/0!</v>
      </c>
    </row>
    <row r="32" spans="1:7" x14ac:dyDescent="0.2">
      <c r="A32" s="6">
        <v>43644</v>
      </c>
      <c r="B32">
        <v>5.34</v>
      </c>
      <c r="C32">
        <v>0</v>
      </c>
      <c r="D32">
        <v>0</v>
      </c>
      <c r="E32">
        <v>0</v>
      </c>
      <c r="F32">
        <v>0</v>
      </c>
      <c r="G32" t="e">
        <v>#DIV/0!</v>
      </c>
    </row>
    <row r="33" spans="1:7" x14ac:dyDescent="0.2">
      <c r="A33" s="6">
        <v>43553</v>
      </c>
      <c r="B33">
        <v>5.34</v>
      </c>
      <c r="C33">
        <v>0</v>
      </c>
      <c r="D33">
        <v>0</v>
      </c>
      <c r="E33">
        <v>0</v>
      </c>
      <c r="F33">
        <v>0</v>
      </c>
      <c r="G33" t="e">
        <v>#DIV/0!</v>
      </c>
    </row>
    <row r="34" spans="1:7" x14ac:dyDescent="0.2">
      <c r="A34" s="6">
        <v>43465</v>
      </c>
      <c r="B34">
        <v>5.34</v>
      </c>
      <c r="C34">
        <v>0</v>
      </c>
      <c r="D34">
        <v>0</v>
      </c>
      <c r="E34">
        <v>0</v>
      </c>
      <c r="F34">
        <v>0</v>
      </c>
      <c r="G34" t="e">
        <v>#DIV/0!</v>
      </c>
    </row>
    <row r="35" spans="1:7" x14ac:dyDescent="0.2">
      <c r="A35" s="6">
        <v>43371</v>
      </c>
      <c r="B35">
        <v>5.34</v>
      </c>
      <c r="C35">
        <v>0</v>
      </c>
      <c r="D35">
        <v>0</v>
      </c>
      <c r="E35">
        <v>0</v>
      </c>
      <c r="F35">
        <v>-3.89</v>
      </c>
      <c r="G35">
        <v>-100</v>
      </c>
    </row>
    <row r="36" spans="1:7" x14ac:dyDescent="0.2">
      <c r="A36" s="6">
        <v>43280</v>
      </c>
      <c r="B36">
        <v>5.34</v>
      </c>
      <c r="C36">
        <v>0.20000000000000018</v>
      </c>
      <c r="D36">
        <v>3.891050583657591</v>
      </c>
      <c r="E36">
        <v>3.89</v>
      </c>
      <c r="F36">
        <v>0.88000000000000034</v>
      </c>
      <c r="G36">
        <v>29.235880398671107</v>
      </c>
    </row>
    <row r="37" spans="1:7" x14ac:dyDescent="0.2">
      <c r="A37" s="6">
        <v>43189</v>
      </c>
      <c r="B37">
        <v>5.14</v>
      </c>
      <c r="C37">
        <v>0.14999999999999947</v>
      </c>
      <c r="D37">
        <v>3.0060120240480854</v>
      </c>
      <c r="E37">
        <v>3.01</v>
      </c>
      <c r="F37">
        <v>0.96999999999999975</v>
      </c>
      <c r="G37">
        <v>47.549019607843121</v>
      </c>
    </row>
    <row r="38" spans="1:7" x14ac:dyDescent="0.2">
      <c r="A38" s="6">
        <v>43098</v>
      </c>
      <c r="B38">
        <v>4.99</v>
      </c>
      <c r="C38">
        <v>0.10000000000000053</v>
      </c>
      <c r="D38">
        <v>2.0449897750511359</v>
      </c>
      <c r="E38">
        <v>2.04</v>
      </c>
      <c r="F38">
        <v>-3.3499999999999996</v>
      </c>
      <c r="G38">
        <v>-62.152133580705005</v>
      </c>
    </row>
    <row r="39" spans="1:7" x14ac:dyDescent="0.2">
      <c r="A39" s="6">
        <v>43007</v>
      </c>
      <c r="B39">
        <v>4.8899999999999997</v>
      </c>
      <c r="C39">
        <v>0.25</v>
      </c>
      <c r="D39">
        <v>5.3879310344827589</v>
      </c>
      <c r="E39">
        <v>5.39</v>
      </c>
      <c r="F39">
        <v>5.39</v>
      </c>
      <c r="G39" t="e">
        <v>#DIV/0!</v>
      </c>
    </row>
    <row r="40" spans="1:7" x14ac:dyDescent="0.2">
      <c r="A40" s="6">
        <v>42916</v>
      </c>
      <c r="B40">
        <v>4.6399999999999997</v>
      </c>
      <c r="C40">
        <v>0</v>
      </c>
      <c r="D40">
        <v>0</v>
      </c>
      <c r="E40">
        <v>0</v>
      </c>
      <c r="F40">
        <v>0</v>
      </c>
      <c r="G40" t="e">
        <v>#DIV/0!</v>
      </c>
    </row>
    <row r="41" spans="1:7" x14ac:dyDescent="0.2">
      <c r="A41" s="6">
        <v>42825</v>
      </c>
      <c r="B41">
        <v>4.6399999999999997</v>
      </c>
      <c r="C41">
        <v>0</v>
      </c>
      <c r="D41">
        <v>0</v>
      </c>
      <c r="E41">
        <v>0</v>
      </c>
      <c r="F41">
        <v>0</v>
      </c>
      <c r="G41" t="e">
        <v>#DIV/0!</v>
      </c>
    </row>
    <row r="42" spans="1:7" x14ac:dyDescent="0.2">
      <c r="A42" s="6">
        <v>42734</v>
      </c>
      <c r="B42">
        <v>4.6399999999999997</v>
      </c>
      <c r="C42">
        <v>0</v>
      </c>
      <c r="D42">
        <v>0</v>
      </c>
      <c r="E42">
        <v>0</v>
      </c>
      <c r="F42">
        <v>0</v>
      </c>
      <c r="G42" t="e">
        <v>#DIV/0!</v>
      </c>
    </row>
    <row r="43" spans="1:7" x14ac:dyDescent="0.2">
      <c r="A43" s="6">
        <v>42643</v>
      </c>
      <c r="B43">
        <v>4.6399999999999997</v>
      </c>
      <c r="C43">
        <v>0</v>
      </c>
      <c r="D43">
        <v>0</v>
      </c>
      <c r="E43">
        <v>0</v>
      </c>
      <c r="F43">
        <v>0</v>
      </c>
      <c r="G43" t="e">
        <v>#DIV/0!</v>
      </c>
    </row>
    <row r="44" spans="1:7" x14ac:dyDescent="0.2">
      <c r="A44" s="6">
        <v>42551</v>
      </c>
      <c r="B44">
        <v>4.6399999999999997</v>
      </c>
      <c r="C44">
        <v>0</v>
      </c>
      <c r="D44">
        <v>0</v>
      </c>
      <c r="E44">
        <v>0</v>
      </c>
      <c r="F44">
        <v>0</v>
      </c>
      <c r="G44" t="e">
        <v>#DIV/0!</v>
      </c>
    </row>
    <row r="45" spans="1:7" x14ac:dyDescent="0.2">
      <c r="A45" s="6">
        <v>42460</v>
      </c>
      <c r="B45">
        <v>4.6399999999999997</v>
      </c>
      <c r="C45">
        <v>0</v>
      </c>
      <c r="D45">
        <v>0</v>
      </c>
      <c r="E45">
        <v>0</v>
      </c>
      <c r="F45">
        <v>0</v>
      </c>
      <c r="G45" t="e">
        <v>#DIV/0!</v>
      </c>
    </row>
    <row r="46" spans="1:7" x14ac:dyDescent="0.2">
      <c r="A46" s="6">
        <v>42369</v>
      </c>
      <c r="B46">
        <v>4.6399999999999997</v>
      </c>
      <c r="C46">
        <v>0</v>
      </c>
      <c r="D46">
        <v>0</v>
      </c>
      <c r="E46">
        <v>0</v>
      </c>
      <c r="F46">
        <v>0</v>
      </c>
      <c r="G46" t="e">
        <v>#DIV/0!</v>
      </c>
    </row>
    <row r="47" spans="1:7" x14ac:dyDescent="0.2">
      <c r="A47" s="6">
        <v>42277</v>
      </c>
      <c r="B47">
        <v>4.6399999999999997</v>
      </c>
      <c r="C47">
        <v>0</v>
      </c>
      <c r="D47">
        <v>0</v>
      </c>
      <c r="E47">
        <v>0</v>
      </c>
      <c r="F47">
        <v>2.11</v>
      </c>
      <c r="G47">
        <v>100</v>
      </c>
    </row>
    <row r="48" spans="1:7" x14ac:dyDescent="0.2">
      <c r="A48" s="6">
        <v>42185</v>
      </c>
      <c r="B48">
        <v>4.6399999999999997</v>
      </c>
      <c r="C48">
        <v>-0.10000000000000053</v>
      </c>
      <c r="D48">
        <v>-2.1097046413502221</v>
      </c>
      <c r="E48">
        <v>-2.11</v>
      </c>
      <c r="F48">
        <v>-1.0699999999999998</v>
      </c>
      <c r="G48">
        <v>-102.88461538461537</v>
      </c>
    </row>
    <row r="49" spans="1:7" x14ac:dyDescent="0.2">
      <c r="A49" s="6">
        <v>42094</v>
      </c>
      <c r="B49">
        <v>4.74</v>
      </c>
      <c r="C49">
        <v>-4.9999999999999822E-2</v>
      </c>
      <c r="D49">
        <v>-1.0438413361169065</v>
      </c>
      <c r="E49">
        <v>-1.04</v>
      </c>
      <c r="F49">
        <v>-1.04</v>
      </c>
      <c r="G49" t="e">
        <v>#DIV/0!</v>
      </c>
    </row>
    <row r="50" spans="1:7" x14ac:dyDescent="0.2">
      <c r="A50" s="6">
        <v>42004</v>
      </c>
      <c r="B50">
        <v>4.79</v>
      </c>
      <c r="C50">
        <v>0</v>
      </c>
      <c r="D50">
        <v>0</v>
      </c>
      <c r="E50">
        <v>0</v>
      </c>
      <c r="F50">
        <v>0</v>
      </c>
      <c r="G50" t="e">
        <v>#DIV/0!</v>
      </c>
    </row>
    <row r="51" spans="1:7" x14ac:dyDescent="0.2">
      <c r="A51" s="6">
        <v>41912</v>
      </c>
      <c r="B51">
        <v>4.79</v>
      </c>
      <c r="C51">
        <v>0</v>
      </c>
      <c r="D51">
        <v>0</v>
      </c>
      <c r="E51">
        <v>0</v>
      </c>
      <c r="F51">
        <v>4.01</v>
      </c>
      <c r="G51">
        <v>100</v>
      </c>
    </row>
    <row r="52" spans="1:7" x14ac:dyDescent="0.2">
      <c r="A52" s="6">
        <v>41820</v>
      </c>
      <c r="B52">
        <v>4.79</v>
      </c>
      <c r="C52">
        <v>-0.20000000000000018</v>
      </c>
      <c r="D52">
        <v>-4.0080160320641314</v>
      </c>
      <c r="E52">
        <v>-4.01</v>
      </c>
      <c r="F52">
        <v>2.54</v>
      </c>
      <c r="G52">
        <v>38.778625954198475</v>
      </c>
    </row>
    <row r="53" spans="1:7" x14ac:dyDescent="0.2">
      <c r="A53" s="6">
        <v>41729</v>
      </c>
      <c r="B53">
        <v>4.99</v>
      </c>
      <c r="C53">
        <v>-0.34999999999999964</v>
      </c>
      <c r="D53">
        <v>-6.5543071161048623</v>
      </c>
      <c r="E53">
        <v>-6.55</v>
      </c>
      <c r="F53">
        <v>-6.55</v>
      </c>
      <c r="G53" t="e">
        <v>#DIV/0!</v>
      </c>
    </row>
    <row r="54" spans="1:7" x14ac:dyDescent="0.2">
      <c r="A54" s="6">
        <v>41639</v>
      </c>
      <c r="B54">
        <v>5.34</v>
      </c>
      <c r="C54">
        <v>0</v>
      </c>
      <c r="D54">
        <v>0</v>
      </c>
      <c r="E54">
        <v>0</v>
      </c>
      <c r="F54">
        <v>-3.89</v>
      </c>
      <c r="G54">
        <v>-100</v>
      </c>
    </row>
    <row r="55" spans="1:7" x14ac:dyDescent="0.2">
      <c r="A55" s="6">
        <v>41547</v>
      </c>
      <c r="B55">
        <v>5.34</v>
      </c>
      <c r="C55">
        <v>0.20000000000000018</v>
      </c>
      <c r="D55">
        <v>3.891050583657591</v>
      </c>
      <c r="E55">
        <v>3.89</v>
      </c>
      <c r="F55">
        <v>3.89</v>
      </c>
      <c r="G55" t="e">
        <v>#DIV/0!</v>
      </c>
    </row>
    <row r="56" spans="1:7" x14ac:dyDescent="0.2">
      <c r="A56" s="6">
        <v>41453</v>
      </c>
      <c r="B56">
        <v>5.14</v>
      </c>
      <c r="C56">
        <v>0</v>
      </c>
      <c r="D56">
        <v>0</v>
      </c>
      <c r="E56">
        <v>0</v>
      </c>
      <c r="F56">
        <v>1.91</v>
      </c>
      <c r="G56">
        <v>100</v>
      </c>
    </row>
    <row r="57" spans="1:7" x14ac:dyDescent="0.2">
      <c r="A57" s="6">
        <v>41362</v>
      </c>
      <c r="B57">
        <v>5.14</v>
      </c>
      <c r="C57">
        <v>-0.10000000000000053</v>
      </c>
      <c r="D57">
        <v>-1.9083969465648956</v>
      </c>
      <c r="E57">
        <v>-1.91</v>
      </c>
      <c r="F57">
        <v>-1.91</v>
      </c>
      <c r="G57" t="e">
        <v>#DIV/0!</v>
      </c>
    </row>
    <row r="58" spans="1:7" x14ac:dyDescent="0.2">
      <c r="A58" s="6">
        <v>41274</v>
      </c>
      <c r="B58">
        <v>5.24</v>
      </c>
      <c r="C58">
        <v>0</v>
      </c>
      <c r="D58">
        <v>0</v>
      </c>
      <c r="E58">
        <v>0</v>
      </c>
      <c r="F58">
        <v>0</v>
      </c>
      <c r="G58" t="e">
        <v>#DIV/0!</v>
      </c>
    </row>
    <row r="59" spans="1:7" x14ac:dyDescent="0.2">
      <c r="A59" s="6">
        <v>41180</v>
      </c>
      <c r="B59">
        <v>5.24</v>
      </c>
      <c r="C59">
        <v>0</v>
      </c>
      <c r="D59">
        <v>0</v>
      </c>
      <c r="E59">
        <v>0</v>
      </c>
      <c r="F59">
        <v>0</v>
      </c>
      <c r="G59" t="e">
        <v>#DIV/0!</v>
      </c>
    </row>
    <row r="60" spans="1:7" x14ac:dyDescent="0.2">
      <c r="A60" s="6">
        <v>41089</v>
      </c>
      <c r="B60">
        <v>5.24</v>
      </c>
      <c r="C60">
        <v>0</v>
      </c>
      <c r="D60">
        <v>0</v>
      </c>
      <c r="E60">
        <v>0</v>
      </c>
      <c r="F60">
        <v>0.95</v>
      </c>
      <c r="G60">
        <v>100</v>
      </c>
    </row>
    <row r="61" spans="1:7" x14ac:dyDescent="0.2">
      <c r="A61" s="6">
        <v>40998</v>
      </c>
      <c r="B61">
        <v>5.24</v>
      </c>
      <c r="C61">
        <v>-4.9999999999999822E-2</v>
      </c>
      <c r="D61">
        <v>-0.94517958412097958</v>
      </c>
      <c r="E61">
        <v>-0.95</v>
      </c>
      <c r="F61">
        <v>-2.88</v>
      </c>
      <c r="G61">
        <v>-149.22279792746116</v>
      </c>
    </row>
    <row r="62" spans="1:7" x14ac:dyDescent="0.2">
      <c r="A62" s="6">
        <v>40907</v>
      </c>
      <c r="B62">
        <v>5.29</v>
      </c>
      <c r="C62">
        <v>9.9999999999999645E-2</v>
      </c>
      <c r="D62">
        <v>1.926782273603076</v>
      </c>
      <c r="E62">
        <v>1.93</v>
      </c>
      <c r="F62">
        <v>5.64</v>
      </c>
      <c r="G62">
        <v>152.02156334231807</v>
      </c>
    </row>
    <row r="63" spans="1:7" x14ac:dyDescent="0.2">
      <c r="A63" s="6">
        <v>40816</v>
      </c>
      <c r="B63">
        <v>5.19</v>
      </c>
      <c r="C63">
        <v>-0.19999999999999929</v>
      </c>
      <c r="D63">
        <v>-3.7105751391465547</v>
      </c>
      <c r="E63">
        <v>-3.71</v>
      </c>
      <c r="F63">
        <v>-4.6500000000000004</v>
      </c>
      <c r="G63">
        <v>-494.68085106382989</v>
      </c>
    </row>
    <row r="64" spans="1:7" x14ac:dyDescent="0.2">
      <c r="A64" s="6">
        <v>40724</v>
      </c>
      <c r="B64">
        <v>5.39</v>
      </c>
      <c r="C64">
        <v>4.9999999999999822E-2</v>
      </c>
      <c r="D64">
        <v>0.93632958801497801</v>
      </c>
      <c r="E64">
        <v>0.94</v>
      </c>
      <c r="F64">
        <v>-1.9500000000000002</v>
      </c>
      <c r="G64">
        <v>-67.474048442906579</v>
      </c>
    </row>
    <row r="65" spans="1:7" x14ac:dyDescent="0.2">
      <c r="A65" s="6">
        <v>40633</v>
      </c>
      <c r="B65">
        <v>5.34</v>
      </c>
      <c r="C65">
        <v>0.14999999999999947</v>
      </c>
      <c r="D65">
        <v>2.8901734104046137</v>
      </c>
      <c r="E65">
        <v>2.89</v>
      </c>
      <c r="F65">
        <v>6.6</v>
      </c>
      <c r="G65">
        <v>177.89757412398922</v>
      </c>
    </row>
    <row r="66" spans="1:7" x14ac:dyDescent="0.2">
      <c r="A66" s="6">
        <v>40543</v>
      </c>
      <c r="B66">
        <v>5.19</v>
      </c>
      <c r="C66">
        <v>-0.19999999999999929</v>
      </c>
      <c r="D66">
        <v>-3.7105751391465547</v>
      </c>
      <c r="E66">
        <v>-3.71</v>
      </c>
      <c r="F66">
        <v>4.78</v>
      </c>
      <c r="G66">
        <v>56.301531213191986</v>
      </c>
    </row>
    <row r="67" spans="1:7" x14ac:dyDescent="0.2">
      <c r="A67" s="6">
        <v>40451</v>
      </c>
      <c r="B67">
        <v>5.39</v>
      </c>
      <c r="C67">
        <v>-0.5</v>
      </c>
      <c r="D67">
        <v>-8.4889643463497464</v>
      </c>
      <c r="E67">
        <v>-8.49</v>
      </c>
      <c r="F67">
        <v>-9.17</v>
      </c>
      <c r="G67">
        <v>-1348.5294117647059</v>
      </c>
    </row>
    <row r="68" spans="1:7" x14ac:dyDescent="0.2">
      <c r="A68" s="6">
        <v>40359</v>
      </c>
      <c r="B68">
        <v>5.89</v>
      </c>
      <c r="C68">
        <v>4.0000000000000036E-2</v>
      </c>
      <c r="D68">
        <v>0.68376068376068444</v>
      </c>
      <c r="E68">
        <v>0.68</v>
      </c>
      <c r="F68">
        <v>-5.88</v>
      </c>
      <c r="G68">
        <v>-89.634146341463421</v>
      </c>
    </row>
    <row r="69" spans="1:7" x14ac:dyDescent="0.2">
      <c r="A69" s="6">
        <v>40268</v>
      </c>
      <c r="B69">
        <v>5.85</v>
      </c>
      <c r="C69">
        <v>0.35999999999999943</v>
      </c>
      <c r="D69">
        <v>6.5573770491803174</v>
      </c>
      <c r="E69">
        <v>6.56</v>
      </c>
      <c r="F69">
        <v>6.56</v>
      </c>
      <c r="G69" t="e">
        <v>#DIV/0!</v>
      </c>
    </row>
    <row r="70" spans="1:7" x14ac:dyDescent="0.2">
      <c r="A70" s="6">
        <v>40178</v>
      </c>
      <c r="B70">
        <v>5.49</v>
      </c>
      <c r="C70">
        <v>0</v>
      </c>
      <c r="D70">
        <v>0</v>
      </c>
      <c r="E70">
        <v>0</v>
      </c>
      <c r="F70">
        <v>6.15</v>
      </c>
      <c r="G70">
        <v>100</v>
      </c>
    </row>
    <row r="71" spans="1:7" x14ac:dyDescent="0.2">
      <c r="A71" s="6">
        <v>40086</v>
      </c>
      <c r="B71">
        <v>5.49</v>
      </c>
      <c r="C71">
        <v>-0.35999999999999943</v>
      </c>
      <c r="D71">
        <v>-6.1538461538461444</v>
      </c>
      <c r="E71">
        <v>-6.15</v>
      </c>
      <c r="F71">
        <v>-11.56</v>
      </c>
      <c r="G71">
        <v>-213.67837338262476</v>
      </c>
    </row>
    <row r="72" spans="1:7" x14ac:dyDescent="0.2">
      <c r="A72" s="6">
        <v>39994</v>
      </c>
      <c r="B72">
        <v>5.85</v>
      </c>
      <c r="C72">
        <v>0.29999999999999982</v>
      </c>
      <c r="D72">
        <v>5.4054054054054026</v>
      </c>
      <c r="E72">
        <v>5.41</v>
      </c>
      <c r="F72">
        <v>23.19</v>
      </c>
      <c r="G72">
        <v>130.42744656917884</v>
      </c>
    </row>
    <row r="73" spans="1:7" x14ac:dyDescent="0.2">
      <c r="A73" s="6">
        <v>39903</v>
      </c>
      <c r="B73">
        <v>5.55</v>
      </c>
      <c r="C73">
        <v>-1.2000000000000002</v>
      </c>
      <c r="D73">
        <v>-17.777777777777779</v>
      </c>
      <c r="E73">
        <v>-17.78</v>
      </c>
      <c r="F73">
        <v>-16.32</v>
      </c>
      <c r="G73">
        <v>-1117.8082191780823</v>
      </c>
    </row>
    <row r="74" spans="1:7" x14ac:dyDescent="0.2">
      <c r="A74" s="6">
        <v>39813</v>
      </c>
      <c r="B74">
        <v>6.75</v>
      </c>
      <c r="C74">
        <v>-9.9999999999999645E-2</v>
      </c>
      <c r="D74">
        <v>-1.459854014598535</v>
      </c>
      <c r="E74">
        <v>-1.46</v>
      </c>
      <c r="F74">
        <v>2.74</v>
      </c>
      <c r="G74">
        <v>65.238095238095241</v>
      </c>
    </row>
    <row r="75" spans="1:7" x14ac:dyDescent="0.2">
      <c r="A75" s="6">
        <v>39721</v>
      </c>
      <c r="B75">
        <v>6.85</v>
      </c>
      <c r="C75">
        <v>-0.30000000000000071</v>
      </c>
      <c r="D75">
        <v>-4.1958041958042056</v>
      </c>
      <c r="E75">
        <v>-4.2</v>
      </c>
      <c r="F75">
        <v>-3.64</v>
      </c>
      <c r="G75">
        <v>-649.99999999999989</v>
      </c>
    </row>
    <row r="76" spans="1:7" x14ac:dyDescent="0.2">
      <c r="A76" s="6">
        <v>39629</v>
      </c>
      <c r="B76">
        <v>7.15</v>
      </c>
      <c r="C76">
        <v>-4.0000000000000036E-2</v>
      </c>
      <c r="D76">
        <v>-0.55632823365785855</v>
      </c>
      <c r="E76">
        <v>-0.56000000000000005</v>
      </c>
      <c r="F76">
        <v>4.08</v>
      </c>
      <c r="G76">
        <v>87.931034482758633</v>
      </c>
    </row>
    <row r="77" spans="1:7" x14ac:dyDescent="0.2">
      <c r="A77" s="6">
        <v>39538</v>
      </c>
      <c r="B77">
        <v>7.19</v>
      </c>
      <c r="C77">
        <v>-0.34999999999999964</v>
      </c>
      <c r="D77">
        <v>-4.6419098143236024</v>
      </c>
      <c r="E77">
        <v>-4.6399999999999997</v>
      </c>
      <c r="F77">
        <v>-9.51</v>
      </c>
      <c r="G77">
        <v>-195.27720739219711</v>
      </c>
    </row>
    <row r="78" spans="1:7" x14ac:dyDescent="0.2">
      <c r="A78" s="6">
        <v>39447</v>
      </c>
      <c r="B78">
        <v>7.54</v>
      </c>
      <c r="C78">
        <v>0.34999999999999964</v>
      </c>
      <c r="D78">
        <v>4.8678720445062531</v>
      </c>
      <c r="E78">
        <v>4.87</v>
      </c>
      <c r="F78">
        <v>5.5600000000000005</v>
      </c>
      <c r="G78">
        <v>805.79710144927537</v>
      </c>
    </row>
    <row r="79" spans="1:7" x14ac:dyDescent="0.2">
      <c r="A79" s="6">
        <v>39353</v>
      </c>
      <c r="B79">
        <v>7.19</v>
      </c>
      <c r="C79">
        <v>-4.9999999999999822E-2</v>
      </c>
      <c r="D79">
        <v>-0.6906077348066274</v>
      </c>
      <c r="E79">
        <v>-0.69</v>
      </c>
      <c r="F79">
        <v>-12.25</v>
      </c>
      <c r="G79">
        <v>-105.96885813148789</v>
      </c>
    </row>
    <row r="80" spans="1:7" x14ac:dyDescent="0.2">
      <c r="A80" s="6">
        <v>39262</v>
      </c>
      <c r="B80">
        <v>7.24</v>
      </c>
      <c r="C80">
        <v>0.75</v>
      </c>
      <c r="D80">
        <v>11.556240369799692</v>
      </c>
      <c r="E80">
        <v>11.56</v>
      </c>
      <c r="F80">
        <v>10.940000000000001</v>
      </c>
      <c r="G80">
        <v>1764.5161290322585</v>
      </c>
    </row>
    <row r="81" spans="1:7" x14ac:dyDescent="0.2">
      <c r="A81" s="6">
        <v>39171</v>
      </c>
      <c r="B81">
        <v>6.49</v>
      </c>
      <c r="C81">
        <v>4.0000000000000036E-2</v>
      </c>
      <c r="D81">
        <v>0.62015503875969047</v>
      </c>
      <c r="E81">
        <v>0.62</v>
      </c>
      <c r="F81">
        <v>4.3499999999999996</v>
      </c>
      <c r="G81">
        <v>116.6219839142091</v>
      </c>
    </row>
    <row r="82" spans="1:7" x14ac:dyDescent="0.2">
      <c r="A82" s="6">
        <v>39080</v>
      </c>
      <c r="B82">
        <v>6.45</v>
      </c>
      <c r="C82">
        <v>-0.25</v>
      </c>
      <c r="D82">
        <v>-3.7313432835820897</v>
      </c>
      <c r="E82">
        <v>-3.73</v>
      </c>
      <c r="F82">
        <v>-0.12999999999999989</v>
      </c>
      <c r="G82">
        <v>-3.6111111111111081</v>
      </c>
    </row>
    <row r="83" spans="1:7" x14ac:dyDescent="0.2">
      <c r="A83" s="6">
        <v>38989</v>
      </c>
      <c r="B83">
        <v>6.7</v>
      </c>
      <c r="C83">
        <v>-0.25</v>
      </c>
      <c r="D83">
        <v>-3.5971223021582732</v>
      </c>
      <c r="E83">
        <v>-3.6</v>
      </c>
      <c r="F83">
        <v>-11.35</v>
      </c>
      <c r="G83">
        <v>-146.45161290322579</v>
      </c>
    </row>
    <row r="84" spans="1:7" x14ac:dyDescent="0.2">
      <c r="A84" s="6">
        <v>38898</v>
      </c>
      <c r="B84">
        <v>6.95</v>
      </c>
      <c r="C84">
        <v>0.5</v>
      </c>
      <c r="D84">
        <v>7.7519379844961236</v>
      </c>
      <c r="E84">
        <v>7.75</v>
      </c>
      <c r="F84">
        <v>5.37</v>
      </c>
      <c r="G84">
        <v>225.63025210084035</v>
      </c>
    </row>
    <row r="85" spans="1:7" x14ac:dyDescent="0.2">
      <c r="A85" s="6">
        <v>38807</v>
      </c>
      <c r="B85">
        <v>6.45</v>
      </c>
      <c r="C85">
        <v>0.15000000000000036</v>
      </c>
      <c r="D85">
        <v>2.3809523809523867</v>
      </c>
      <c r="E85">
        <v>2.38</v>
      </c>
      <c r="F85">
        <v>-6.2399999999999993</v>
      </c>
      <c r="G85">
        <v>-72.389791183294662</v>
      </c>
    </row>
    <row r="86" spans="1:7" x14ac:dyDescent="0.2">
      <c r="A86" s="6">
        <v>38716</v>
      </c>
      <c r="B86">
        <v>6.3</v>
      </c>
      <c r="E86">
        <v>8.6199999999999992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2C74-8004-4E8D-8AF6-6BF4578907FB}">
  <dimension ref="A1:J85"/>
  <sheetViews>
    <sheetView tabSelected="1" workbookViewId="0">
      <selection activeCell="M30" sqref="M30"/>
    </sheetView>
  </sheetViews>
  <sheetFormatPr baseColWidth="10" defaultColWidth="8.83203125" defaultRowHeight="15" outlineLevelCol="1" x14ac:dyDescent="0.2"/>
  <cols>
    <col min="1" max="1" width="10.6640625" bestFit="1" customWidth="1"/>
    <col min="2" max="2" width="26.33203125" customWidth="1"/>
    <col min="3" max="7" width="9.1640625" hidden="1" customWidth="1" outlineLevel="1"/>
    <col min="8" max="8" width="21.5" customWidth="1" collapsed="1"/>
  </cols>
  <sheetData>
    <row r="1" spans="1:10" x14ac:dyDescent="0.2">
      <c r="A1" t="s">
        <v>0</v>
      </c>
      <c r="B1" t="s">
        <v>30</v>
      </c>
    </row>
    <row r="2" spans="1:10" x14ac:dyDescent="0.2">
      <c r="A2" t="s">
        <v>2</v>
      </c>
      <c r="B2" s="5">
        <v>38716</v>
      </c>
    </row>
    <row r="3" spans="1:10" x14ac:dyDescent="0.2">
      <c r="A3" t="s">
        <v>3</v>
      </c>
      <c r="B3" s="5">
        <v>45838</v>
      </c>
    </row>
    <row r="4" spans="1:10" x14ac:dyDescent="0.2">
      <c r="A4" t="s">
        <v>4</v>
      </c>
      <c r="B4" t="s">
        <v>19</v>
      </c>
      <c r="H4" t="s">
        <v>29</v>
      </c>
      <c r="I4" t="s">
        <v>28</v>
      </c>
      <c r="J4" t="s">
        <v>32</v>
      </c>
    </row>
    <row r="6" spans="1:10" x14ac:dyDescent="0.2">
      <c r="A6" t="s">
        <v>6</v>
      </c>
      <c r="B6" t="s">
        <v>31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10" x14ac:dyDescent="0.2">
      <c r="A7" s="6">
        <v>45838</v>
      </c>
      <c r="B7">
        <v>10227.44</v>
      </c>
      <c r="C7">
        <v>535.27000000000044</v>
      </c>
      <c r="D7">
        <v>5.5227054416090562</v>
      </c>
      <c r="E7">
        <v>5.52</v>
      </c>
      <c r="F7">
        <v>2.7199999999999998</v>
      </c>
      <c r="G7">
        <v>97.142857142857153</v>
      </c>
    </row>
    <row r="8" spans="1:10" x14ac:dyDescent="0.2">
      <c r="A8" s="6">
        <v>45747</v>
      </c>
      <c r="B8">
        <v>9692.17</v>
      </c>
      <c r="C8">
        <v>264.07999999999993</v>
      </c>
      <c r="D8">
        <v>2.8009915051723087</v>
      </c>
      <c r="E8">
        <v>2.8</v>
      </c>
      <c r="F8">
        <v>2.5999999999999996</v>
      </c>
      <c r="G8">
        <v>1299.9999999999995</v>
      </c>
    </row>
    <row r="9" spans="1:10" x14ac:dyDescent="0.2">
      <c r="A9" s="6">
        <v>45657</v>
      </c>
      <c r="B9">
        <v>9428.09</v>
      </c>
      <c r="C9">
        <v>18.819999999999709</v>
      </c>
      <c r="D9">
        <v>0.20001551661286909</v>
      </c>
      <c r="E9">
        <v>0.2</v>
      </c>
      <c r="F9">
        <v>2.11</v>
      </c>
      <c r="G9">
        <v>110.47120418848168</v>
      </c>
    </row>
    <row r="10" spans="1:10" x14ac:dyDescent="0.2">
      <c r="A10" s="6">
        <v>45565</v>
      </c>
      <c r="B10">
        <v>9409.27</v>
      </c>
      <c r="C10">
        <v>-182.72999999999956</v>
      </c>
      <c r="D10">
        <v>-1.9050250208507045</v>
      </c>
      <c r="E10">
        <v>-1.91</v>
      </c>
      <c r="F10">
        <v>-2.3899999999999997</v>
      </c>
      <c r="G10">
        <v>-497.91666666666663</v>
      </c>
    </row>
    <row r="11" spans="1:10" x14ac:dyDescent="0.2">
      <c r="A11" s="6">
        <v>45471</v>
      </c>
      <c r="B11">
        <v>9592</v>
      </c>
      <c r="C11">
        <v>46</v>
      </c>
      <c r="D11">
        <v>0.4818772260632726</v>
      </c>
      <c r="E11">
        <v>0.48</v>
      </c>
      <c r="F11">
        <v>-1.75</v>
      </c>
      <c r="G11">
        <v>-78.47533632286995</v>
      </c>
    </row>
    <row r="12" spans="1:10" x14ac:dyDescent="0.2">
      <c r="A12" s="6">
        <v>45380</v>
      </c>
      <c r="B12">
        <v>9546</v>
      </c>
      <c r="C12">
        <v>208</v>
      </c>
      <c r="D12">
        <v>2.2274576997215676</v>
      </c>
      <c r="E12">
        <v>2.23</v>
      </c>
      <c r="F12">
        <v>3.37</v>
      </c>
      <c r="G12">
        <v>295.61403508771934</v>
      </c>
    </row>
    <row r="13" spans="1:10" x14ac:dyDescent="0.2">
      <c r="A13" s="6">
        <v>45289</v>
      </c>
      <c r="B13">
        <v>9338</v>
      </c>
      <c r="C13">
        <v>-108</v>
      </c>
      <c r="D13">
        <v>-1.1433410967605335</v>
      </c>
      <c r="E13">
        <v>-1.1399999999999999</v>
      </c>
      <c r="F13">
        <v>4.6000000000000005</v>
      </c>
      <c r="G13">
        <v>80.139372822299663</v>
      </c>
    </row>
    <row r="14" spans="1:10" x14ac:dyDescent="0.2">
      <c r="A14" s="6">
        <v>45198</v>
      </c>
      <c r="B14">
        <v>9446</v>
      </c>
      <c r="C14">
        <v>-575</v>
      </c>
      <c r="D14">
        <v>-5.737950304360842</v>
      </c>
      <c r="E14">
        <v>-5.74</v>
      </c>
      <c r="F14">
        <v>0.37000000000000011</v>
      </c>
      <c r="G14">
        <v>6.0556464811783979</v>
      </c>
    </row>
    <row r="15" spans="1:10" x14ac:dyDescent="0.2">
      <c r="A15" s="6">
        <v>45107</v>
      </c>
      <c r="B15">
        <v>10021</v>
      </c>
      <c r="C15">
        <v>-651.79999999999927</v>
      </c>
      <c r="D15">
        <v>-6.1071134097893651</v>
      </c>
      <c r="E15">
        <v>-6.11</v>
      </c>
      <c r="F15">
        <v>-7.4300000000000006</v>
      </c>
      <c r="G15">
        <v>-562.87878787878799</v>
      </c>
    </row>
    <row r="16" spans="1:10" x14ac:dyDescent="0.2">
      <c r="A16" s="6">
        <v>45016</v>
      </c>
      <c r="B16">
        <v>10672.8</v>
      </c>
      <c r="C16">
        <v>139.44999999999891</v>
      </c>
      <c r="D16">
        <v>1.3238903103001316</v>
      </c>
      <c r="E16">
        <v>1.32</v>
      </c>
      <c r="F16">
        <v>2.13</v>
      </c>
      <c r="G16">
        <v>262.96296296296293</v>
      </c>
    </row>
    <row r="17" spans="1:7" x14ac:dyDescent="0.2">
      <c r="A17" s="6">
        <v>44925</v>
      </c>
      <c r="B17">
        <v>10533.35</v>
      </c>
      <c r="C17">
        <v>-86.409999999999854</v>
      </c>
      <c r="D17">
        <v>-0.8136718720573709</v>
      </c>
      <c r="E17">
        <v>-0.81</v>
      </c>
      <c r="F17">
        <v>-2.35</v>
      </c>
      <c r="G17">
        <v>-152.59740259740261</v>
      </c>
    </row>
    <row r="18" spans="1:7" x14ac:dyDescent="0.2">
      <c r="A18" s="6">
        <v>44834</v>
      </c>
      <c r="B18">
        <v>10619.76</v>
      </c>
      <c r="C18">
        <v>160.69000000000051</v>
      </c>
      <c r="D18">
        <v>1.5363698684491118</v>
      </c>
      <c r="E18">
        <v>1.54</v>
      </c>
      <c r="F18">
        <v>-11.98</v>
      </c>
      <c r="G18">
        <v>-88.609467455621299</v>
      </c>
    </row>
    <row r="19" spans="1:7" x14ac:dyDescent="0.2">
      <c r="A19" s="6">
        <v>44742</v>
      </c>
      <c r="B19">
        <v>10459.07</v>
      </c>
      <c r="C19">
        <v>1245.9899999999998</v>
      </c>
      <c r="D19">
        <v>13.524141763666437</v>
      </c>
      <c r="E19">
        <v>13.52</v>
      </c>
      <c r="F19">
        <v>11.01</v>
      </c>
      <c r="G19">
        <v>438.64541832669329</v>
      </c>
    </row>
    <row r="20" spans="1:7" x14ac:dyDescent="0.2">
      <c r="A20" s="6">
        <v>44651</v>
      </c>
      <c r="B20">
        <v>9213.08</v>
      </c>
      <c r="C20">
        <v>225.98999999999978</v>
      </c>
      <c r="D20">
        <v>2.514607064133104</v>
      </c>
      <c r="E20">
        <v>2.5099999999999998</v>
      </c>
      <c r="F20">
        <v>0.71999999999999975</v>
      </c>
      <c r="G20">
        <v>40.223463687150819</v>
      </c>
    </row>
    <row r="21" spans="1:7" x14ac:dyDescent="0.2">
      <c r="A21" s="6">
        <v>44561</v>
      </c>
      <c r="B21">
        <v>8987.09</v>
      </c>
      <c r="C21">
        <v>158.02000000000044</v>
      </c>
      <c r="D21">
        <v>1.7897694774194841</v>
      </c>
      <c r="E21">
        <v>1.79</v>
      </c>
      <c r="F21">
        <v>-3.5300000000000002</v>
      </c>
      <c r="G21">
        <v>-66.353383458646618</v>
      </c>
    </row>
    <row r="22" spans="1:7" x14ac:dyDescent="0.2">
      <c r="A22" s="6">
        <v>44469</v>
      </c>
      <c r="B22">
        <v>8829.07</v>
      </c>
      <c r="C22">
        <v>445.73999999999978</v>
      </c>
      <c r="D22">
        <v>5.3169802453201749</v>
      </c>
      <c r="E22">
        <v>5.32</v>
      </c>
      <c r="F22">
        <v>-11.68</v>
      </c>
      <c r="G22">
        <v>-68.705882352941174</v>
      </c>
    </row>
    <row r="23" spans="1:7" x14ac:dyDescent="0.2">
      <c r="A23" s="6">
        <v>44377</v>
      </c>
      <c r="B23">
        <v>8383.33</v>
      </c>
      <c r="C23">
        <v>1217.8500000000004</v>
      </c>
      <c r="D23">
        <v>16.996070046947313</v>
      </c>
      <c r="E23">
        <v>17</v>
      </c>
      <c r="F23">
        <v>12.95</v>
      </c>
      <c r="G23">
        <v>319.75308641975312</v>
      </c>
    </row>
    <row r="24" spans="1:7" x14ac:dyDescent="0.2">
      <c r="A24" s="6">
        <v>44286</v>
      </c>
      <c r="B24">
        <v>7165.48</v>
      </c>
      <c r="C24">
        <v>279.16999999999916</v>
      </c>
      <c r="D24">
        <v>4.0539853709751545</v>
      </c>
      <c r="E24">
        <v>4.05</v>
      </c>
      <c r="F24">
        <v>-1.6400000000000006</v>
      </c>
      <c r="G24">
        <v>-28.822495606326896</v>
      </c>
    </row>
    <row r="25" spans="1:7" x14ac:dyDescent="0.2">
      <c r="A25" s="6">
        <v>44196</v>
      </c>
      <c r="B25">
        <v>6886.31</v>
      </c>
      <c r="C25">
        <v>370.77000000000044</v>
      </c>
      <c r="D25">
        <v>5.6905490565632384</v>
      </c>
      <c r="E25">
        <v>5.69</v>
      </c>
      <c r="F25">
        <v>-0.96</v>
      </c>
      <c r="G25">
        <v>-14.436090225563909</v>
      </c>
    </row>
    <row r="26" spans="1:7" x14ac:dyDescent="0.2">
      <c r="A26" s="6">
        <v>44104</v>
      </c>
      <c r="B26">
        <v>6515.54</v>
      </c>
      <c r="C26">
        <v>406.15999999999985</v>
      </c>
      <c r="D26">
        <v>6.6481377815752145</v>
      </c>
      <c r="E26">
        <v>6.65</v>
      </c>
      <c r="F26">
        <v>12.57</v>
      </c>
      <c r="G26">
        <v>212.33108108108109</v>
      </c>
    </row>
    <row r="27" spans="1:7" x14ac:dyDescent="0.2">
      <c r="A27" s="6">
        <v>44012</v>
      </c>
      <c r="B27">
        <v>6109.38</v>
      </c>
      <c r="C27">
        <v>-384.53999999999996</v>
      </c>
      <c r="D27">
        <v>-5.9215389164018033</v>
      </c>
      <c r="E27">
        <v>-5.92</v>
      </c>
      <c r="F27">
        <v>-4.1399999999999997</v>
      </c>
      <c r="G27">
        <v>-232.58426966292132</v>
      </c>
    </row>
    <row r="28" spans="1:7" x14ac:dyDescent="0.2">
      <c r="A28" s="6">
        <v>43921</v>
      </c>
      <c r="B28">
        <v>6493.92</v>
      </c>
      <c r="C28">
        <v>-117.96000000000004</v>
      </c>
      <c r="D28">
        <v>-1.784061416722627</v>
      </c>
      <c r="E28">
        <v>-1.78</v>
      </c>
      <c r="F28">
        <v>3.3999999999999995</v>
      </c>
      <c r="G28">
        <v>65.637065637065632</v>
      </c>
    </row>
    <row r="29" spans="1:7" x14ac:dyDescent="0.2">
      <c r="A29" s="6">
        <v>43830</v>
      </c>
      <c r="B29">
        <v>6611.88</v>
      </c>
      <c r="C29">
        <v>-361.17000000000007</v>
      </c>
      <c r="D29">
        <v>-5.1795125518962299</v>
      </c>
      <c r="E29">
        <v>-5.18</v>
      </c>
      <c r="F29">
        <v>-8.2099999999999991</v>
      </c>
      <c r="G29">
        <v>-270.95709570957092</v>
      </c>
    </row>
    <row r="30" spans="1:7" x14ac:dyDescent="0.2">
      <c r="A30" s="6">
        <v>43738</v>
      </c>
      <c r="B30">
        <v>6973.05</v>
      </c>
      <c r="C30">
        <v>205.39000000000033</v>
      </c>
      <c r="D30">
        <v>3.0348746834208624</v>
      </c>
      <c r="E30">
        <v>3.03</v>
      </c>
      <c r="F30">
        <v>-0.26000000000000023</v>
      </c>
      <c r="G30">
        <v>-7.9027355623100366</v>
      </c>
    </row>
    <row r="31" spans="1:7" x14ac:dyDescent="0.2">
      <c r="A31" s="6">
        <v>43644</v>
      </c>
      <c r="B31">
        <v>6767.66</v>
      </c>
      <c r="C31">
        <v>215.44999999999982</v>
      </c>
      <c r="D31">
        <v>3.2882035221703796</v>
      </c>
      <c r="E31">
        <v>3.29</v>
      </c>
      <c r="F31">
        <v>2.74</v>
      </c>
      <c r="G31">
        <v>498.18181818181813</v>
      </c>
    </row>
    <row r="32" spans="1:7" x14ac:dyDescent="0.2">
      <c r="A32" s="6">
        <v>43553</v>
      </c>
      <c r="B32">
        <v>6552.21</v>
      </c>
      <c r="C32">
        <v>35.840000000000146</v>
      </c>
      <c r="D32">
        <v>0.54999946289115176</v>
      </c>
      <c r="E32">
        <v>0.55000000000000004</v>
      </c>
      <c r="F32">
        <v>-1.74</v>
      </c>
      <c r="G32">
        <v>-75.982532751091696</v>
      </c>
    </row>
    <row r="33" spans="1:7" x14ac:dyDescent="0.2">
      <c r="A33" s="6">
        <v>43465</v>
      </c>
      <c r="B33">
        <v>6516.37</v>
      </c>
      <c r="C33">
        <v>146.09000000000015</v>
      </c>
      <c r="D33">
        <v>2.2933057887565407</v>
      </c>
      <c r="E33">
        <v>2.29</v>
      </c>
      <c r="F33">
        <v>0.18000000000000016</v>
      </c>
      <c r="G33">
        <v>8.5308056872037987</v>
      </c>
    </row>
    <row r="34" spans="1:7" x14ac:dyDescent="0.2">
      <c r="A34" s="6">
        <v>43371</v>
      </c>
      <c r="B34">
        <v>6370.28</v>
      </c>
      <c r="C34">
        <v>131.56999999999971</v>
      </c>
      <c r="D34">
        <v>2.1089295703759223</v>
      </c>
      <c r="E34">
        <v>2.11</v>
      </c>
      <c r="F34">
        <v>-1.44</v>
      </c>
      <c r="G34">
        <v>-40.563380281690144</v>
      </c>
    </row>
    <row r="35" spans="1:7" x14ac:dyDescent="0.2">
      <c r="A35" s="6">
        <v>43280</v>
      </c>
      <c r="B35">
        <v>6238.71</v>
      </c>
      <c r="C35">
        <v>213.73999999999978</v>
      </c>
      <c r="D35">
        <v>3.547569531466543</v>
      </c>
      <c r="E35">
        <v>3.55</v>
      </c>
      <c r="F35">
        <v>2.9499999999999997</v>
      </c>
      <c r="G35">
        <v>491.66666666666669</v>
      </c>
    </row>
    <row r="36" spans="1:7" x14ac:dyDescent="0.2">
      <c r="A36" s="6">
        <v>43189</v>
      </c>
      <c r="B36">
        <v>6024.97</v>
      </c>
      <c r="C36">
        <v>35.920000000000073</v>
      </c>
      <c r="D36">
        <v>0.5997612309130842</v>
      </c>
      <c r="E36">
        <v>0.6</v>
      </c>
      <c r="F36">
        <v>2.91</v>
      </c>
      <c r="G36">
        <v>125.97402597402598</v>
      </c>
    </row>
    <row r="37" spans="1:7" x14ac:dyDescent="0.2">
      <c r="A37" s="6">
        <v>43098</v>
      </c>
      <c r="B37">
        <v>5989.05</v>
      </c>
      <c r="C37">
        <v>-141.56999999999971</v>
      </c>
      <c r="D37">
        <v>-2.309228104172167</v>
      </c>
      <c r="E37">
        <v>-2.31</v>
      </c>
      <c r="F37">
        <v>-9.99</v>
      </c>
      <c r="G37">
        <v>-130.078125</v>
      </c>
    </row>
    <row r="38" spans="1:7" x14ac:dyDescent="0.2">
      <c r="A38" s="6">
        <v>43007</v>
      </c>
      <c r="B38">
        <v>6130.62</v>
      </c>
      <c r="C38">
        <v>437.07999999999993</v>
      </c>
      <c r="D38">
        <v>7.6767705153559991</v>
      </c>
      <c r="E38">
        <v>7.68</v>
      </c>
      <c r="F38">
        <v>6.35</v>
      </c>
      <c r="G38">
        <v>477.44360902255636</v>
      </c>
    </row>
    <row r="39" spans="1:7" x14ac:dyDescent="0.2">
      <c r="A39" s="6">
        <v>42916</v>
      </c>
      <c r="B39">
        <v>5693.54</v>
      </c>
      <c r="C39">
        <v>74.569999999999709</v>
      </c>
      <c r="D39">
        <v>1.3271115524731349</v>
      </c>
      <c r="E39">
        <v>1.33</v>
      </c>
      <c r="F39">
        <v>-3.9799999999999995</v>
      </c>
      <c r="G39">
        <v>-74.952919020715626</v>
      </c>
    </row>
    <row r="40" spans="1:7" x14ac:dyDescent="0.2">
      <c r="A40" s="6">
        <v>42825</v>
      </c>
      <c r="B40">
        <v>5618.97</v>
      </c>
      <c r="C40">
        <v>283.44000000000051</v>
      </c>
      <c r="D40">
        <v>5.3123119914985111</v>
      </c>
      <c r="E40">
        <v>5.31</v>
      </c>
      <c r="F40">
        <v>3.7499999999999996</v>
      </c>
      <c r="G40">
        <v>240.38461538461533</v>
      </c>
    </row>
    <row r="41" spans="1:7" x14ac:dyDescent="0.2">
      <c r="A41" s="6">
        <v>42734</v>
      </c>
      <c r="B41">
        <v>5335.53</v>
      </c>
      <c r="C41">
        <v>81.929999999999382</v>
      </c>
      <c r="D41">
        <v>1.5595020557331996</v>
      </c>
      <c r="E41">
        <v>1.56</v>
      </c>
      <c r="F41">
        <v>-1.77</v>
      </c>
      <c r="G41">
        <v>-53.153153153153148</v>
      </c>
    </row>
    <row r="42" spans="1:7" x14ac:dyDescent="0.2">
      <c r="A42" s="6">
        <v>42643</v>
      </c>
      <c r="B42">
        <v>5253.6</v>
      </c>
      <c r="C42">
        <v>169.28000000000065</v>
      </c>
      <c r="D42">
        <v>3.3294521194574824</v>
      </c>
      <c r="E42">
        <v>3.33</v>
      </c>
      <c r="F42">
        <v>6.01</v>
      </c>
      <c r="G42">
        <v>224.25373134328356</v>
      </c>
    </row>
    <row r="43" spans="1:7" x14ac:dyDescent="0.2">
      <c r="A43" s="6">
        <v>42551</v>
      </c>
      <c r="B43">
        <v>5084.32</v>
      </c>
      <c r="C43">
        <v>-140.03999999999996</v>
      </c>
      <c r="D43">
        <v>-2.6805197191617722</v>
      </c>
      <c r="E43">
        <v>-2.68</v>
      </c>
      <c r="F43">
        <v>-2.8800000000000003</v>
      </c>
      <c r="G43">
        <v>-1440.0000000000002</v>
      </c>
    </row>
    <row r="44" spans="1:7" x14ac:dyDescent="0.2">
      <c r="A44" s="6">
        <v>42460</v>
      </c>
      <c r="B44">
        <v>5224.3599999999997</v>
      </c>
      <c r="C44">
        <v>10.479999999999563</v>
      </c>
      <c r="D44">
        <v>0.20100194097293309</v>
      </c>
      <c r="E44">
        <v>0.2</v>
      </c>
      <c r="F44">
        <v>-0.06</v>
      </c>
      <c r="G44">
        <v>-23.076923076923077</v>
      </c>
    </row>
    <row r="45" spans="1:7" x14ac:dyDescent="0.2">
      <c r="A45" s="6">
        <v>42369</v>
      </c>
      <c r="B45">
        <v>5213.88</v>
      </c>
      <c r="C45">
        <v>13.75</v>
      </c>
      <c r="D45">
        <v>0.26441646651141415</v>
      </c>
      <c r="E45">
        <v>0.26</v>
      </c>
      <c r="F45">
        <v>3.8899999999999997</v>
      </c>
      <c r="G45">
        <v>107.16253443526169</v>
      </c>
    </row>
    <row r="46" spans="1:7" x14ac:dyDescent="0.2">
      <c r="A46" s="6">
        <v>42277</v>
      </c>
      <c r="B46">
        <v>5200.13</v>
      </c>
      <c r="C46">
        <v>-195.86999999999989</v>
      </c>
      <c r="D46">
        <v>-3.6299110452186785</v>
      </c>
      <c r="E46">
        <v>-3.63</v>
      </c>
      <c r="F46">
        <v>-2.36</v>
      </c>
      <c r="G46">
        <v>-185.82677165354332</v>
      </c>
    </row>
    <row r="47" spans="1:7" x14ac:dyDescent="0.2">
      <c r="A47" s="6">
        <v>42185</v>
      </c>
      <c r="B47">
        <v>5396</v>
      </c>
      <c r="C47">
        <v>-69.239999999999782</v>
      </c>
      <c r="D47">
        <v>-1.2669160000292721</v>
      </c>
      <c r="E47">
        <v>-1.27</v>
      </c>
      <c r="F47">
        <v>-4.88</v>
      </c>
      <c r="G47">
        <v>-135.18005540166206</v>
      </c>
    </row>
    <row r="48" spans="1:7" x14ac:dyDescent="0.2">
      <c r="A48" s="6">
        <v>42094</v>
      </c>
      <c r="B48">
        <v>5465.24</v>
      </c>
      <c r="C48">
        <v>190.67000000000007</v>
      </c>
      <c r="D48">
        <v>3.6148918300449151</v>
      </c>
      <c r="E48">
        <v>3.61</v>
      </c>
      <c r="F48">
        <v>-1.6</v>
      </c>
      <c r="G48">
        <v>-30.710172744721689</v>
      </c>
    </row>
    <row r="49" spans="1:7" x14ac:dyDescent="0.2">
      <c r="A49" s="6">
        <v>42004</v>
      </c>
      <c r="B49">
        <v>5274.57</v>
      </c>
      <c r="C49">
        <v>261.09000000000015</v>
      </c>
      <c r="D49">
        <v>5.2077598793652351</v>
      </c>
      <c r="E49">
        <v>5.21</v>
      </c>
      <c r="F49">
        <v>6.38</v>
      </c>
      <c r="G49">
        <v>545.29914529914538</v>
      </c>
    </row>
    <row r="50" spans="1:7" x14ac:dyDescent="0.2">
      <c r="A50" s="6">
        <v>41912</v>
      </c>
      <c r="B50">
        <v>5013.4799999999996</v>
      </c>
      <c r="C50">
        <v>-59.110000000000582</v>
      </c>
      <c r="D50">
        <v>-1.1652824296858326</v>
      </c>
      <c r="E50">
        <v>-1.17</v>
      </c>
      <c r="F50">
        <v>0.63000000000000012</v>
      </c>
      <c r="G50">
        <v>35.000000000000007</v>
      </c>
    </row>
    <row r="51" spans="1:7" x14ac:dyDescent="0.2">
      <c r="A51" s="6">
        <v>41820</v>
      </c>
      <c r="B51">
        <v>5072.59</v>
      </c>
      <c r="C51">
        <v>-93.059999999999491</v>
      </c>
      <c r="D51">
        <v>-1.8015157821377659</v>
      </c>
      <c r="E51">
        <v>-1.8</v>
      </c>
      <c r="F51">
        <v>-6.58</v>
      </c>
      <c r="G51">
        <v>-137.65690376569037</v>
      </c>
    </row>
    <row r="52" spans="1:7" x14ac:dyDescent="0.2">
      <c r="A52" s="6">
        <v>41729</v>
      </c>
      <c r="B52">
        <v>5165.6499999999996</v>
      </c>
      <c r="C52">
        <v>235.72999999999956</v>
      </c>
      <c r="D52">
        <v>4.7816191743476475</v>
      </c>
      <c r="E52">
        <v>4.78</v>
      </c>
      <c r="F52">
        <v>2.3000000000000003</v>
      </c>
      <c r="G52">
        <v>92.741935483870975</v>
      </c>
    </row>
    <row r="53" spans="1:7" x14ac:dyDescent="0.2">
      <c r="A53" s="6">
        <v>41639</v>
      </c>
      <c r="B53">
        <v>4929.92</v>
      </c>
      <c r="C53">
        <v>119.42000000000007</v>
      </c>
      <c r="D53">
        <v>2.4824862280428244</v>
      </c>
      <c r="E53">
        <v>2.48</v>
      </c>
      <c r="F53">
        <v>7.5</v>
      </c>
      <c r="G53">
        <v>149.40239043824701</v>
      </c>
    </row>
    <row r="54" spans="1:7" x14ac:dyDescent="0.2">
      <c r="A54" s="6">
        <v>41547</v>
      </c>
      <c r="B54">
        <v>4810.5</v>
      </c>
      <c r="C54">
        <v>-254.17000000000007</v>
      </c>
      <c r="D54">
        <v>-5.0184908394821397</v>
      </c>
      <c r="E54">
        <v>-5.0199999999999996</v>
      </c>
      <c r="F54">
        <v>-9.3099999999999987</v>
      </c>
      <c r="G54">
        <v>-217.01631701631698</v>
      </c>
    </row>
    <row r="55" spans="1:7" x14ac:dyDescent="0.2">
      <c r="A55" s="6">
        <v>41453</v>
      </c>
      <c r="B55">
        <v>5064.67</v>
      </c>
      <c r="C55">
        <v>208.3100000000004</v>
      </c>
      <c r="D55">
        <v>4.2894266487657511</v>
      </c>
      <c r="E55">
        <v>4.29</v>
      </c>
      <c r="F55">
        <v>3.23</v>
      </c>
      <c r="G55">
        <v>304.71698113207543</v>
      </c>
    </row>
    <row r="56" spans="1:7" x14ac:dyDescent="0.2">
      <c r="A56" s="6">
        <v>41362</v>
      </c>
      <c r="B56">
        <v>4856.3599999999997</v>
      </c>
      <c r="C56">
        <v>50.929999999999382</v>
      </c>
      <c r="D56">
        <v>1.0598427195901174</v>
      </c>
      <c r="E56">
        <v>1.06</v>
      </c>
      <c r="F56">
        <v>1.6600000000000001</v>
      </c>
      <c r="G56">
        <v>276.66666666666669</v>
      </c>
    </row>
    <row r="57" spans="1:7" x14ac:dyDescent="0.2">
      <c r="A57" s="6">
        <v>41274</v>
      </c>
      <c r="B57">
        <v>4805.43</v>
      </c>
      <c r="C57">
        <v>-29.099999999999454</v>
      </c>
      <c r="D57">
        <v>-0.60191993844281566</v>
      </c>
      <c r="E57">
        <v>-0.6</v>
      </c>
      <c r="F57">
        <v>-4.3599999999999994</v>
      </c>
      <c r="G57">
        <v>-115.95744680851062</v>
      </c>
    </row>
    <row r="58" spans="1:7" x14ac:dyDescent="0.2">
      <c r="A58" s="6">
        <v>41180</v>
      </c>
      <c r="B58">
        <v>4834.53</v>
      </c>
      <c r="C58">
        <v>175.13000000000011</v>
      </c>
      <c r="D58">
        <v>3.7586384513027453</v>
      </c>
      <c r="E58">
        <v>3.76</v>
      </c>
      <c r="F58">
        <v>-0.48000000000000043</v>
      </c>
      <c r="G58">
        <v>-11.320754716981142</v>
      </c>
    </row>
    <row r="59" spans="1:7" x14ac:dyDescent="0.2">
      <c r="A59" s="6">
        <v>41089</v>
      </c>
      <c r="B59">
        <v>4659.3999999999996</v>
      </c>
      <c r="C59">
        <v>189.46000000000004</v>
      </c>
      <c r="D59">
        <v>4.2385356402994239</v>
      </c>
      <c r="E59">
        <v>4.24</v>
      </c>
      <c r="F59">
        <v>4.0200000000000005</v>
      </c>
      <c r="G59">
        <v>1827.2727272727275</v>
      </c>
    </row>
    <row r="60" spans="1:7" x14ac:dyDescent="0.2">
      <c r="A60" s="6">
        <v>40998</v>
      </c>
      <c r="B60">
        <v>4469.9399999999996</v>
      </c>
      <c r="C60">
        <v>9.9299999999993815</v>
      </c>
      <c r="D60">
        <v>0.22264524070572445</v>
      </c>
      <c r="E60">
        <v>0.22</v>
      </c>
      <c r="F60">
        <v>2.21</v>
      </c>
      <c r="G60">
        <v>111.05527638190955</v>
      </c>
    </row>
    <row r="61" spans="1:7" x14ac:dyDescent="0.2">
      <c r="A61" s="6">
        <v>40907</v>
      </c>
      <c r="B61">
        <v>4460.01</v>
      </c>
      <c r="C61">
        <v>-90.529999999999745</v>
      </c>
      <c r="D61">
        <v>-1.9894342209935469</v>
      </c>
      <c r="E61">
        <v>-1.99</v>
      </c>
      <c r="F61">
        <v>-0.20999999999999996</v>
      </c>
      <c r="G61">
        <v>-11.797752808988761</v>
      </c>
    </row>
    <row r="62" spans="1:7" x14ac:dyDescent="0.2">
      <c r="A62" s="6">
        <v>40816</v>
      </c>
      <c r="B62">
        <v>4550.54</v>
      </c>
      <c r="C62">
        <v>-82.590000000000146</v>
      </c>
      <c r="D62">
        <v>-1.7825962146540275</v>
      </c>
      <c r="E62">
        <v>-1.78</v>
      </c>
      <c r="F62">
        <v>-1.7</v>
      </c>
      <c r="G62">
        <v>-2125</v>
      </c>
    </row>
    <row r="63" spans="1:7" x14ac:dyDescent="0.2">
      <c r="A63" s="6">
        <v>40724</v>
      </c>
      <c r="B63">
        <v>4633.13</v>
      </c>
      <c r="C63">
        <v>-3.4799999999995634</v>
      </c>
      <c r="D63">
        <v>-7.5054835321486255E-2</v>
      </c>
      <c r="E63">
        <v>-0.08</v>
      </c>
      <c r="F63">
        <v>-0.1</v>
      </c>
      <c r="G63">
        <v>-500</v>
      </c>
    </row>
    <row r="64" spans="1:7" x14ac:dyDescent="0.2">
      <c r="A64" s="6">
        <v>40633</v>
      </c>
      <c r="B64">
        <v>4636.6099999999997</v>
      </c>
      <c r="C64">
        <v>0.96000000000003638</v>
      </c>
      <c r="D64">
        <v>2.0709069925469708E-2</v>
      </c>
      <c r="E64">
        <v>0.02</v>
      </c>
      <c r="F64">
        <v>-0.94</v>
      </c>
      <c r="G64">
        <v>-97.916666666666671</v>
      </c>
    </row>
    <row r="65" spans="1:7" x14ac:dyDescent="0.2">
      <c r="A65" s="6">
        <v>40543</v>
      </c>
      <c r="B65">
        <v>4635.6499999999996</v>
      </c>
      <c r="C65">
        <v>44.079999999999927</v>
      </c>
      <c r="D65">
        <v>0.96002021095180801</v>
      </c>
      <c r="E65">
        <v>0.96</v>
      </c>
      <c r="F65">
        <v>0.61</v>
      </c>
      <c r="G65">
        <v>174.28571428571431</v>
      </c>
    </row>
    <row r="66" spans="1:7" x14ac:dyDescent="0.2">
      <c r="A66" s="6">
        <v>40451</v>
      </c>
      <c r="B66">
        <v>4591.57</v>
      </c>
      <c r="C66">
        <v>16.139999999999418</v>
      </c>
      <c r="D66">
        <v>0.35275373025047735</v>
      </c>
      <c r="E66">
        <v>0.35</v>
      </c>
      <c r="F66">
        <v>-6.42</v>
      </c>
      <c r="G66">
        <v>-94.830132939438712</v>
      </c>
    </row>
    <row r="67" spans="1:7" x14ac:dyDescent="0.2">
      <c r="A67" s="6">
        <v>40359</v>
      </c>
      <c r="B67">
        <v>4575.43</v>
      </c>
      <c r="C67">
        <v>290.21000000000004</v>
      </c>
      <c r="D67">
        <v>6.7723477441064874</v>
      </c>
      <c r="E67">
        <v>6.77</v>
      </c>
      <c r="F67">
        <v>1.1499999999999995</v>
      </c>
      <c r="G67">
        <v>20.462633451957284</v>
      </c>
    </row>
    <row r="68" spans="1:7" x14ac:dyDescent="0.2">
      <c r="A68" s="6">
        <v>40268</v>
      </c>
      <c r="B68">
        <v>4285.22</v>
      </c>
      <c r="C68">
        <v>228.10000000000036</v>
      </c>
      <c r="D68">
        <v>5.6222147730409837</v>
      </c>
      <c r="E68">
        <v>5.62</v>
      </c>
      <c r="F68">
        <v>7.73</v>
      </c>
      <c r="G68">
        <v>366.35071090047393</v>
      </c>
    </row>
    <row r="69" spans="1:7" x14ac:dyDescent="0.2">
      <c r="A69" s="6">
        <v>40178</v>
      </c>
      <c r="B69">
        <v>4057.12</v>
      </c>
      <c r="C69">
        <v>-87.25</v>
      </c>
      <c r="D69">
        <v>-2.1052656978020785</v>
      </c>
      <c r="E69">
        <v>-2.11</v>
      </c>
      <c r="F69">
        <v>-2.59</v>
      </c>
      <c r="G69">
        <v>-539.58333333333337</v>
      </c>
    </row>
    <row r="70" spans="1:7" x14ac:dyDescent="0.2">
      <c r="A70" s="6">
        <v>40086</v>
      </c>
      <c r="B70">
        <v>4144.37</v>
      </c>
      <c r="C70">
        <v>19.849999999999454</v>
      </c>
      <c r="D70">
        <v>0.48126812332100349</v>
      </c>
      <c r="E70">
        <v>0.48</v>
      </c>
      <c r="F70">
        <v>3.56</v>
      </c>
      <c r="G70">
        <v>115.58441558441558</v>
      </c>
    </row>
    <row r="71" spans="1:7" x14ac:dyDescent="0.2">
      <c r="A71" s="6">
        <v>39994</v>
      </c>
      <c r="B71">
        <v>4124.5200000000004</v>
      </c>
      <c r="C71">
        <v>-131.14999999999964</v>
      </c>
      <c r="D71">
        <v>-3.0817709079886275</v>
      </c>
      <c r="E71">
        <v>-3.08</v>
      </c>
      <c r="F71">
        <v>-0.60999999999999988</v>
      </c>
      <c r="G71">
        <v>-24.696356275303636</v>
      </c>
    </row>
    <row r="72" spans="1:7" x14ac:dyDescent="0.2">
      <c r="A72" s="6">
        <v>39903</v>
      </c>
      <c r="B72">
        <v>4255.67</v>
      </c>
      <c r="C72">
        <v>-107.80999999999949</v>
      </c>
      <c r="D72">
        <v>-2.4707343679815077</v>
      </c>
      <c r="E72">
        <v>-2.4700000000000002</v>
      </c>
      <c r="F72">
        <v>-4.8900000000000006</v>
      </c>
      <c r="G72">
        <v>-202.06611570247938</v>
      </c>
    </row>
    <row r="73" spans="1:7" x14ac:dyDescent="0.2">
      <c r="A73" s="6">
        <v>39813</v>
      </c>
      <c r="B73">
        <v>4363.4799999999996</v>
      </c>
      <c r="C73">
        <v>103.02999999999975</v>
      </c>
      <c r="D73">
        <v>2.4182891478599622</v>
      </c>
      <c r="E73">
        <v>2.42</v>
      </c>
      <c r="F73">
        <v>-1.67</v>
      </c>
      <c r="G73">
        <v>-40.831295843520785</v>
      </c>
    </row>
    <row r="74" spans="1:7" x14ac:dyDescent="0.2">
      <c r="A74" s="6">
        <v>39721</v>
      </c>
      <c r="B74">
        <v>4260.45</v>
      </c>
      <c r="C74">
        <v>167.4699999999998</v>
      </c>
      <c r="D74">
        <v>4.0916398321027661</v>
      </c>
      <c r="E74">
        <v>4.09</v>
      </c>
      <c r="F74">
        <v>4.6099999999999994</v>
      </c>
      <c r="G74">
        <v>886.53846153846143</v>
      </c>
    </row>
    <row r="75" spans="1:7" x14ac:dyDescent="0.2">
      <c r="A75" s="6">
        <v>39629</v>
      </c>
      <c r="B75">
        <v>4092.98</v>
      </c>
      <c r="C75">
        <v>-21.339999999999691</v>
      </c>
      <c r="D75">
        <v>-0.51867623325360435</v>
      </c>
      <c r="E75">
        <v>-0.52</v>
      </c>
      <c r="F75">
        <v>0.64999999999999991</v>
      </c>
      <c r="G75">
        <v>55.55555555555555</v>
      </c>
    </row>
    <row r="76" spans="1:7" x14ac:dyDescent="0.2">
      <c r="A76" s="6">
        <v>39538</v>
      </c>
      <c r="B76">
        <v>4114.32</v>
      </c>
      <c r="C76">
        <v>-48.890000000000327</v>
      </c>
      <c r="D76">
        <v>-1.1743342276752873</v>
      </c>
      <c r="E76">
        <v>-1.17</v>
      </c>
      <c r="F76">
        <v>-4.6999999999999993</v>
      </c>
      <c r="G76">
        <v>-133.14447592067987</v>
      </c>
    </row>
    <row r="77" spans="1:7" x14ac:dyDescent="0.2">
      <c r="A77" s="6">
        <v>39447</v>
      </c>
      <c r="B77">
        <v>4163.21</v>
      </c>
      <c r="C77">
        <v>141.92000000000007</v>
      </c>
      <c r="D77">
        <v>3.5292157491750178</v>
      </c>
      <c r="E77">
        <v>3.53</v>
      </c>
      <c r="F77">
        <v>6.89</v>
      </c>
      <c r="G77">
        <v>205.05952380952382</v>
      </c>
    </row>
    <row r="78" spans="1:7" x14ac:dyDescent="0.2">
      <c r="A78" s="6">
        <v>39353</v>
      </c>
      <c r="B78">
        <v>4021.29</v>
      </c>
      <c r="C78">
        <v>-139.67000000000007</v>
      </c>
      <c r="D78">
        <v>-3.3566773052372545</v>
      </c>
      <c r="E78">
        <v>-3.36</v>
      </c>
      <c r="F78">
        <v>-3.54</v>
      </c>
      <c r="G78">
        <v>-1966.6666666666667</v>
      </c>
    </row>
    <row r="79" spans="1:7" x14ac:dyDescent="0.2">
      <c r="A79" s="6">
        <v>39262</v>
      </c>
      <c r="B79">
        <v>4160.96</v>
      </c>
      <c r="C79">
        <v>7.6300000000001091</v>
      </c>
      <c r="D79">
        <v>0.18370801260675432</v>
      </c>
      <c r="E79">
        <v>0.18</v>
      </c>
      <c r="F79">
        <v>-5.42</v>
      </c>
      <c r="G79">
        <v>-96.785714285714292</v>
      </c>
    </row>
    <row r="80" spans="1:7" x14ac:dyDescent="0.2">
      <c r="A80" s="6">
        <v>39171</v>
      </c>
      <c r="B80">
        <v>4153.33</v>
      </c>
      <c r="C80">
        <v>220.34999999999991</v>
      </c>
      <c r="D80">
        <v>5.602621930444597</v>
      </c>
      <c r="E80">
        <v>5.6</v>
      </c>
      <c r="F80">
        <v>2.4899999999999998</v>
      </c>
      <c r="G80">
        <v>80.064308681672017</v>
      </c>
    </row>
    <row r="81" spans="1:7" x14ac:dyDescent="0.2">
      <c r="A81" s="6">
        <v>39080</v>
      </c>
      <c r="B81">
        <v>3932.98</v>
      </c>
      <c r="C81">
        <v>118.59000000000015</v>
      </c>
      <c r="D81">
        <v>3.1090161205330382</v>
      </c>
      <c r="E81">
        <v>3.11</v>
      </c>
      <c r="F81">
        <v>0.1599999999999997</v>
      </c>
      <c r="G81">
        <v>5.4237288135593111</v>
      </c>
    </row>
    <row r="82" spans="1:7" x14ac:dyDescent="0.2">
      <c r="A82" s="6">
        <v>38989</v>
      </c>
      <c r="B82">
        <v>3814.39</v>
      </c>
      <c r="C82">
        <v>109.36999999999989</v>
      </c>
      <c r="D82">
        <v>2.9519408802111702</v>
      </c>
      <c r="E82">
        <v>2.95</v>
      </c>
      <c r="F82">
        <v>5.73</v>
      </c>
      <c r="G82">
        <v>206.11510791366908</v>
      </c>
    </row>
    <row r="83" spans="1:7" x14ac:dyDescent="0.2">
      <c r="A83" s="6">
        <v>38898</v>
      </c>
      <c r="B83">
        <v>3705.02</v>
      </c>
      <c r="C83">
        <v>-105.80000000000018</v>
      </c>
      <c r="D83">
        <v>-2.7763053621005498</v>
      </c>
      <c r="E83">
        <v>-2.78</v>
      </c>
      <c r="F83">
        <v>-4.92</v>
      </c>
      <c r="G83">
        <v>-229.90654205607476</v>
      </c>
    </row>
    <row r="84" spans="1:7" x14ac:dyDescent="0.2">
      <c r="A84" s="6">
        <v>38807</v>
      </c>
      <c r="B84">
        <v>3810.82</v>
      </c>
      <c r="C84">
        <v>79.830000000000382</v>
      </c>
      <c r="D84">
        <v>2.1396465817383694</v>
      </c>
      <c r="E84">
        <v>2.14</v>
      </c>
      <c r="F84">
        <v>-0.10000000000000009</v>
      </c>
      <c r="G84">
        <v>-4.464285714285718</v>
      </c>
    </row>
    <row r="85" spans="1:7" x14ac:dyDescent="0.2">
      <c r="A85" s="6">
        <v>38716</v>
      </c>
      <c r="B85">
        <v>3730.99</v>
      </c>
      <c r="E85">
        <v>2.2400000000000002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E9E9-BEBC-4773-9FE9-EAB1503B353D}">
  <dimension ref="A1:H85"/>
  <sheetViews>
    <sheetView workbookViewId="0">
      <selection activeCell="AE49" sqref="AE49"/>
    </sheetView>
  </sheetViews>
  <sheetFormatPr baseColWidth="10" defaultColWidth="8.83203125" defaultRowHeight="15" outlineLevelCol="1" x14ac:dyDescent="0.2"/>
  <cols>
    <col min="1" max="1" width="13.83203125" customWidth="1"/>
    <col min="2" max="2" width="21" customWidth="1"/>
    <col min="3" max="7" width="9.1640625" hidden="1" customWidth="1" outlineLevel="1"/>
    <col min="8" max="8" width="9.1640625" collapsed="1"/>
  </cols>
  <sheetData>
    <row r="1" spans="1:8" x14ac:dyDescent="0.2">
      <c r="A1" t="s">
        <v>0</v>
      </c>
      <c r="B1" t="s">
        <v>33</v>
      </c>
    </row>
    <row r="2" spans="1:8" x14ac:dyDescent="0.2">
      <c r="A2" t="s">
        <v>2</v>
      </c>
      <c r="B2" s="5">
        <v>38716</v>
      </c>
    </row>
    <row r="3" spans="1:8" x14ac:dyDescent="0.2">
      <c r="A3" t="s">
        <v>3</v>
      </c>
      <c r="B3" s="5">
        <v>45838</v>
      </c>
    </row>
    <row r="4" spans="1:8" x14ac:dyDescent="0.2">
      <c r="A4" t="s">
        <v>4</v>
      </c>
      <c r="B4" t="s">
        <v>19</v>
      </c>
      <c r="H4" t="s">
        <v>35</v>
      </c>
    </row>
    <row r="6" spans="1:8" x14ac:dyDescent="0.2">
      <c r="A6" t="s">
        <v>6</v>
      </c>
      <c r="B6" t="s">
        <v>34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45838</v>
      </c>
      <c r="B7">
        <v>6682487</v>
      </c>
      <c r="C7">
        <v>24757</v>
      </c>
      <c r="D7">
        <v>0.3718534695759666</v>
      </c>
      <c r="E7">
        <v>0</v>
      </c>
      <c r="F7">
        <v>0</v>
      </c>
      <c r="G7" t="e">
        <v>#DIV/0!</v>
      </c>
    </row>
    <row r="8" spans="1:8" x14ac:dyDescent="0.2">
      <c r="A8" s="6">
        <v>45747</v>
      </c>
      <c r="B8">
        <v>6657730</v>
      </c>
      <c r="C8">
        <v>-22843</v>
      </c>
      <c r="D8">
        <v>-0.34193174747136212</v>
      </c>
      <c r="E8">
        <v>0</v>
      </c>
      <c r="F8">
        <v>3</v>
      </c>
      <c r="G8">
        <v>100</v>
      </c>
    </row>
    <row r="9" spans="1:8" x14ac:dyDescent="0.2">
      <c r="A9" s="6">
        <v>45657</v>
      </c>
      <c r="B9">
        <v>6680573</v>
      </c>
      <c r="C9">
        <v>-202158</v>
      </c>
      <c r="D9">
        <v>-2.9371771176296155</v>
      </c>
      <c r="E9">
        <v>-3</v>
      </c>
      <c r="F9">
        <v>-3</v>
      </c>
      <c r="G9" t="e">
        <v>#DIV/0!</v>
      </c>
    </row>
    <row r="10" spans="1:8" x14ac:dyDescent="0.2">
      <c r="A10" s="6">
        <v>45565</v>
      </c>
      <c r="B10">
        <v>6882731</v>
      </c>
      <c r="C10">
        <v>-3583</v>
      </c>
      <c r="D10">
        <v>-5.2030738069742392E-2</v>
      </c>
      <c r="E10">
        <v>0</v>
      </c>
      <c r="F10">
        <v>-6</v>
      </c>
      <c r="G10">
        <v>-100</v>
      </c>
    </row>
    <row r="11" spans="1:8" x14ac:dyDescent="0.2">
      <c r="A11" s="6">
        <v>45471</v>
      </c>
      <c r="B11">
        <v>6886314</v>
      </c>
      <c r="C11">
        <v>373870</v>
      </c>
      <c r="D11">
        <v>5.7408555067805578</v>
      </c>
      <c r="E11">
        <v>6</v>
      </c>
      <c r="F11">
        <v>9</v>
      </c>
      <c r="G11">
        <v>300</v>
      </c>
    </row>
    <row r="12" spans="1:8" x14ac:dyDescent="0.2">
      <c r="A12" s="6">
        <v>45380</v>
      </c>
      <c r="B12">
        <v>6512444</v>
      </c>
      <c r="C12">
        <v>-219159</v>
      </c>
      <c r="D12">
        <v>-3.255673277226836</v>
      </c>
      <c r="E12">
        <v>-3</v>
      </c>
      <c r="F12">
        <v>-3</v>
      </c>
      <c r="G12" t="e">
        <v>#DIV/0!</v>
      </c>
    </row>
    <row r="13" spans="1:8" x14ac:dyDescent="0.2">
      <c r="A13" s="6">
        <v>45289</v>
      </c>
      <c r="B13">
        <v>6731603</v>
      </c>
      <c r="C13">
        <v>1146</v>
      </c>
      <c r="D13">
        <v>1.7027075575997291E-2</v>
      </c>
      <c r="E13">
        <v>0</v>
      </c>
      <c r="F13">
        <v>3</v>
      </c>
      <c r="G13">
        <v>100</v>
      </c>
    </row>
    <row r="14" spans="1:8" x14ac:dyDescent="0.2">
      <c r="A14" s="6">
        <v>45198</v>
      </c>
      <c r="B14">
        <v>6730457</v>
      </c>
      <c r="C14">
        <v>-203000</v>
      </c>
      <c r="D14">
        <v>-2.9278323929895289</v>
      </c>
      <c r="E14">
        <v>-3</v>
      </c>
      <c r="F14">
        <v>-2</v>
      </c>
      <c r="G14">
        <v>-200</v>
      </c>
    </row>
    <row r="15" spans="1:8" x14ac:dyDescent="0.2">
      <c r="A15" s="6">
        <v>45107</v>
      </c>
      <c r="B15">
        <v>6933457</v>
      </c>
      <c r="C15">
        <v>-94225</v>
      </c>
      <c r="D15">
        <v>-1.3407692607605182</v>
      </c>
      <c r="E15">
        <v>-1</v>
      </c>
      <c r="F15">
        <v>2</v>
      </c>
      <c r="G15">
        <v>66.666666666666671</v>
      </c>
    </row>
    <row r="16" spans="1:8" x14ac:dyDescent="0.2">
      <c r="A16" s="6">
        <v>45016</v>
      </c>
      <c r="B16">
        <v>7027682</v>
      </c>
      <c r="C16">
        <v>-203262</v>
      </c>
      <c r="D16">
        <v>-2.8110022702430002</v>
      </c>
      <c r="E16">
        <v>-3</v>
      </c>
      <c r="F16">
        <v>-3</v>
      </c>
      <c r="G16" t="e">
        <v>#DIV/0!</v>
      </c>
    </row>
    <row r="17" spans="1:7" x14ac:dyDescent="0.2">
      <c r="A17" s="6">
        <v>44925</v>
      </c>
      <c r="B17">
        <v>7230944</v>
      </c>
      <c r="C17">
        <v>-18525</v>
      </c>
      <c r="D17">
        <v>-0.255535957185278</v>
      </c>
      <c r="E17">
        <v>0</v>
      </c>
      <c r="F17">
        <v>-2</v>
      </c>
      <c r="G17">
        <v>-100</v>
      </c>
    </row>
    <row r="18" spans="1:7" x14ac:dyDescent="0.2">
      <c r="A18" s="6">
        <v>44834</v>
      </c>
      <c r="B18">
        <v>7249469</v>
      </c>
      <c r="C18">
        <v>117444</v>
      </c>
      <c r="D18">
        <v>1.6467132406294145</v>
      </c>
      <c r="E18">
        <v>2</v>
      </c>
      <c r="F18">
        <v>-1</v>
      </c>
      <c r="G18">
        <v>-33.333333333333336</v>
      </c>
    </row>
    <row r="19" spans="1:7" x14ac:dyDescent="0.2">
      <c r="A19" s="6">
        <v>44742</v>
      </c>
      <c r="B19">
        <v>7132025</v>
      </c>
      <c r="C19">
        <v>178268</v>
      </c>
      <c r="D19">
        <v>2.5636213632429206</v>
      </c>
      <c r="E19">
        <v>3</v>
      </c>
      <c r="F19">
        <v>-1</v>
      </c>
      <c r="G19">
        <v>-25</v>
      </c>
    </row>
    <row r="20" spans="1:7" x14ac:dyDescent="0.2">
      <c r="A20" s="6">
        <v>44651</v>
      </c>
      <c r="B20">
        <v>6953757</v>
      </c>
      <c r="C20">
        <v>253380</v>
      </c>
      <c r="D20">
        <v>3.781578260447136</v>
      </c>
      <c r="E20">
        <v>4</v>
      </c>
      <c r="F20">
        <v>2</v>
      </c>
      <c r="G20">
        <v>100</v>
      </c>
    </row>
    <row r="21" spans="1:7" x14ac:dyDescent="0.2">
      <c r="A21" s="6">
        <v>44561</v>
      </c>
      <c r="B21">
        <v>6700377</v>
      </c>
      <c r="C21">
        <v>140507</v>
      </c>
      <c r="D21">
        <v>2.1419174465347637</v>
      </c>
      <c r="E21">
        <v>2</v>
      </c>
      <c r="F21">
        <v>-11</v>
      </c>
      <c r="G21">
        <v>-84.615384615384613</v>
      </c>
    </row>
    <row r="22" spans="1:7" x14ac:dyDescent="0.2">
      <c r="A22" s="6">
        <v>44469</v>
      </c>
      <c r="B22">
        <v>6559870</v>
      </c>
      <c r="C22">
        <v>762118</v>
      </c>
      <c r="D22">
        <v>13.145060361326252</v>
      </c>
      <c r="E22">
        <v>13</v>
      </c>
      <c r="F22">
        <v>5</v>
      </c>
      <c r="G22">
        <v>62.5</v>
      </c>
    </row>
    <row r="23" spans="1:7" x14ac:dyDescent="0.2">
      <c r="A23" s="6">
        <v>44377</v>
      </c>
      <c r="B23">
        <v>5797752</v>
      </c>
      <c r="C23">
        <v>447658</v>
      </c>
      <c r="D23">
        <v>8.3672922382298331</v>
      </c>
      <c r="E23">
        <v>8</v>
      </c>
      <c r="F23">
        <v>-1</v>
      </c>
      <c r="G23">
        <v>-11.111111111111111</v>
      </c>
    </row>
    <row r="24" spans="1:7" x14ac:dyDescent="0.2">
      <c r="A24" s="6">
        <v>44286</v>
      </c>
      <c r="B24">
        <v>5350094</v>
      </c>
      <c r="C24">
        <v>449891</v>
      </c>
      <c r="D24">
        <v>9.1810686210346795</v>
      </c>
      <c r="E24">
        <v>9</v>
      </c>
      <c r="F24">
        <v>5</v>
      </c>
      <c r="G24">
        <v>125</v>
      </c>
    </row>
    <row r="25" spans="1:7" x14ac:dyDescent="0.2">
      <c r="A25" s="6">
        <v>44196</v>
      </c>
      <c r="B25">
        <v>4900203</v>
      </c>
      <c r="C25">
        <v>170991</v>
      </c>
      <c r="D25">
        <v>3.6156340633492428</v>
      </c>
      <c r="E25">
        <v>4</v>
      </c>
      <c r="F25">
        <v>-1</v>
      </c>
      <c r="G25">
        <v>-20</v>
      </c>
    </row>
    <row r="26" spans="1:7" x14ac:dyDescent="0.2">
      <c r="A26" s="6">
        <v>44104</v>
      </c>
      <c r="B26">
        <v>4729212</v>
      </c>
      <c r="C26">
        <v>235664</v>
      </c>
      <c r="D26">
        <v>5.2444972213493655</v>
      </c>
      <c r="E26">
        <v>5</v>
      </c>
      <c r="F26">
        <v>11</v>
      </c>
      <c r="G26">
        <v>183.33333333333334</v>
      </c>
    </row>
    <row r="27" spans="1:7" x14ac:dyDescent="0.2">
      <c r="A27" s="6">
        <v>44012</v>
      </c>
      <c r="B27">
        <v>4493548</v>
      </c>
      <c r="C27">
        <v>-308563</v>
      </c>
      <c r="D27">
        <v>-6.4255699212283934</v>
      </c>
      <c r="E27">
        <v>-6</v>
      </c>
      <c r="F27">
        <v>-2</v>
      </c>
      <c r="G27">
        <v>-50</v>
      </c>
    </row>
    <row r="28" spans="1:7" x14ac:dyDescent="0.2">
      <c r="A28" s="6">
        <v>43921</v>
      </c>
      <c r="B28">
        <v>4802111</v>
      </c>
      <c r="C28">
        <v>-178021</v>
      </c>
      <c r="D28">
        <v>-3.5746241264287772</v>
      </c>
      <c r="E28">
        <v>-4</v>
      </c>
      <c r="F28">
        <v>-6</v>
      </c>
      <c r="G28">
        <v>-300</v>
      </c>
    </row>
    <row r="29" spans="1:7" x14ac:dyDescent="0.2">
      <c r="A29" s="6">
        <v>43830</v>
      </c>
      <c r="B29">
        <v>4980132</v>
      </c>
      <c r="C29">
        <v>78054</v>
      </c>
      <c r="D29">
        <v>1.5922635257945712</v>
      </c>
      <c r="E29">
        <v>2</v>
      </c>
      <c r="F29">
        <v>6</v>
      </c>
      <c r="G29">
        <v>150</v>
      </c>
    </row>
    <row r="30" spans="1:7" x14ac:dyDescent="0.2">
      <c r="A30" s="6">
        <v>43738</v>
      </c>
      <c r="B30">
        <v>4902078</v>
      </c>
      <c r="C30">
        <v>-226070</v>
      </c>
      <c r="D30">
        <v>-4.4084141097331822</v>
      </c>
      <c r="E30">
        <v>-4</v>
      </c>
      <c r="F30">
        <v>-7</v>
      </c>
      <c r="G30">
        <v>-233.33333333333334</v>
      </c>
    </row>
    <row r="31" spans="1:7" x14ac:dyDescent="0.2">
      <c r="A31" s="6">
        <v>43644</v>
      </c>
      <c r="B31">
        <v>5128148</v>
      </c>
      <c r="C31">
        <v>172757</v>
      </c>
      <c r="D31">
        <v>3.4862435678637671</v>
      </c>
      <c r="E31">
        <v>3</v>
      </c>
      <c r="F31">
        <v>7</v>
      </c>
      <c r="G31">
        <v>175</v>
      </c>
    </row>
    <row r="32" spans="1:7" x14ac:dyDescent="0.2">
      <c r="A32" s="6">
        <v>43553</v>
      </c>
      <c r="B32">
        <v>4955391</v>
      </c>
      <c r="C32">
        <v>-195803</v>
      </c>
      <c r="D32">
        <v>-3.8011187309194723</v>
      </c>
      <c r="E32">
        <v>-4</v>
      </c>
      <c r="F32">
        <v>-11</v>
      </c>
      <c r="G32">
        <v>-157.14285714285714</v>
      </c>
    </row>
    <row r="33" spans="1:7" x14ac:dyDescent="0.2">
      <c r="A33" s="6">
        <v>43465</v>
      </c>
      <c r="B33">
        <v>5151194</v>
      </c>
      <c r="C33">
        <v>317657</v>
      </c>
      <c r="D33">
        <v>6.5719368652810557</v>
      </c>
      <c r="E33">
        <v>7</v>
      </c>
      <c r="F33">
        <v>5</v>
      </c>
      <c r="G33">
        <v>250</v>
      </c>
    </row>
    <row r="34" spans="1:7" x14ac:dyDescent="0.2">
      <c r="A34" s="6">
        <v>43371</v>
      </c>
      <c r="B34">
        <v>4833537</v>
      </c>
      <c r="C34">
        <v>89303</v>
      </c>
      <c r="D34">
        <v>1.8823481303831135</v>
      </c>
      <c r="E34">
        <v>2</v>
      </c>
      <c r="F34">
        <v>-4</v>
      </c>
      <c r="G34">
        <v>-66.666666666666671</v>
      </c>
    </row>
    <row r="35" spans="1:7" x14ac:dyDescent="0.2">
      <c r="A35" s="6">
        <v>43280</v>
      </c>
      <c r="B35">
        <v>4744234</v>
      </c>
      <c r="C35">
        <v>260384</v>
      </c>
      <c r="D35">
        <v>5.8071523356044468</v>
      </c>
      <c r="E35">
        <v>6</v>
      </c>
      <c r="F35">
        <v>-1</v>
      </c>
      <c r="G35">
        <v>-14.285714285714286</v>
      </c>
    </row>
    <row r="36" spans="1:7" x14ac:dyDescent="0.2">
      <c r="A36" s="6">
        <v>43189</v>
      </c>
      <c r="B36">
        <v>4483850</v>
      </c>
      <c r="C36">
        <v>288331</v>
      </c>
      <c r="D36">
        <v>6.8723559588217809</v>
      </c>
      <c r="E36">
        <v>7</v>
      </c>
      <c r="F36">
        <v>4</v>
      </c>
      <c r="G36">
        <v>133.33333333333334</v>
      </c>
    </row>
    <row r="37" spans="1:7" x14ac:dyDescent="0.2">
      <c r="A37" s="6">
        <v>43098</v>
      </c>
      <c r="B37">
        <v>4195519</v>
      </c>
      <c r="C37">
        <v>120932</v>
      </c>
      <c r="D37">
        <v>2.9679572432739807</v>
      </c>
      <c r="E37">
        <v>3</v>
      </c>
      <c r="F37">
        <v>2</v>
      </c>
      <c r="G37">
        <v>200</v>
      </c>
    </row>
    <row r="38" spans="1:7" x14ac:dyDescent="0.2">
      <c r="A38" s="6">
        <v>43007</v>
      </c>
      <c r="B38">
        <v>4074587</v>
      </c>
      <c r="C38">
        <v>59459</v>
      </c>
      <c r="D38">
        <v>1.480874333271567</v>
      </c>
      <c r="E38">
        <v>1</v>
      </c>
      <c r="F38">
        <v>1</v>
      </c>
      <c r="G38" t="e">
        <v>#DIV/0!</v>
      </c>
    </row>
    <row r="39" spans="1:7" x14ac:dyDescent="0.2">
      <c r="A39" s="6">
        <v>42916</v>
      </c>
      <c r="B39">
        <v>4015128</v>
      </c>
      <c r="C39">
        <v>-14713</v>
      </c>
      <c r="D39">
        <v>-0.36510125337451277</v>
      </c>
      <c r="E39">
        <v>0</v>
      </c>
      <c r="F39">
        <v>-2</v>
      </c>
      <c r="G39">
        <v>-100</v>
      </c>
    </row>
    <row r="40" spans="1:7" x14ac:dyDescent="0.2">
      <c r="A40" s="6">
        <v>42825</v>
      </c>
      <c r="B40">
        <v>4029841</v>
      </c>
      <c r="C40">
        <v>92033</v>
      </c>
      <c r="D40">
        <v>2.3371632136457645</v>
      </c>
      <c r="E40">
        <v>2</v>
      </c>
      <c r="F40">
        <v>7</v>
      </c>
      <c r="G40">
        <v>140</v>
      </c>
    </row>
    <row r="41" spans="1:7" x14ac:dyDescent="0.2">
      <c r="A41" s="6">
        <v>42734</v>
      </c>
      <c r="B41">
        <v>3937808</v>
      </c>
      <c r="C41">
        <v>-192233</v>
      </c>
      <c r="D41">
        <v>-4.6545058511525674</v>
      </c>
      <c r="E41">
        <v>-5</v>
      </c>
      <c r="F41">
        <v>-5</v>
      </c>
      <c r="G41" t="e">
        <v>#DIV/0!</v>
      </c>
    </row>
    <row r="42" spans="1:7" x14ac:dyDescent="0.2">
      <c r="A42" s="6">
        <v>42643</v>
      </c>
      <c r="B42">
        <v>4130041</v>
      </c>
      <c r="C42">
        <v>14976</v>
      </c>
      <c r="D42">
        <v>0.36393106791751773</v>
      </c>
      <c r="E42">
        <v>0</v>
      </c>
      <c r="F42">
        <v>-2</v>
      </c>
      <c r="G42">
        <v>-100</v>
      </c>
    </row>
    <row r="43" spans="1:7" x14ac:dyDescent="0.2">
      <c r="A43" s="6">
        <v>42551</v>
      </c>
      <c r="B43">
        <v>4115065</v>
      </c>
      <c r="C43">
        <v>67839</v>
      </c>
      <c r="D43">
        <v>1.6761851203762774</v>
      </c>
      <c r="E43">
        <v>2</v>
      </c>
      <c r="F43">
        <v>4</v>
      </c>
      <c r="G43">
        <v>200</v>
      </c>
    </row>
    <row r="44" spans="1:7" x14ac:dyDescent="0.2">
      <c r="A44" s="6">
        <v>42460</v>
      </c>
      <c r="B44">
        <v>4047226</v>
      </c>
      <c r="C44">
        <v>-90651</v>
      </c>
      <c r="D44">
        <v>-2.1907611076887981</v>
      </c>
      <c r="E44">
        <v>-2</v>
      </c>
      <c r="F44">
        <v>-4</v>
      </c>
      <c r="G44">
        <v>-200</v>
      </c>
    </row>
    <row r="45" spans="1:7" x14ac:dyDescent="0.2">
      <c r="A45" s="6">
        <v>42369</v>
      </c>
      <c r="B45">
        <v>4137877</v>
      </c>
      <c r="C45">
        <v>81055</v>
      </c>
      <c r="D45">
        <v>1.9979925172955579</v>
      </c>
      <c r="E45">
        <v>2</v>
      </c>
      <c r="F45">
        <v>-4</v>
      </c>
      <c r="G45">
        <v>-66.666666666666671</v>
      </c>
    </row>
    <row r="46" spans="1:7" x14ac:dyDescent="0.2">
      <c r="A46" s="6">
        <v>42277</v>
      </c>
      <c r="B46">
        <v>4056822</v>
      </c>
      <c r="C46">
        <v>242373</v>
      </c>
      <c r="D46">
        <v>6.3540763030256793</v>
      </c>
      <c r="E46">
        <v>6</v>
      </c>
      <c r="F46">
        <v>5</v>
      </c>
      <c r="G46">
        <v>500</v>
      </c>
    </row>
    <row r="47" spans="1:7" x14ac:dyDescent="0.2">
      <c r="A47" s="6">
        <v>42185</v>
      </c>
      <c r="B47">
        <v>3814449</v>
      </c>
      <c r="C47">
        <v>32390</v>
      </c>
      <c r="D47">
        <v>0.85641181166131997</v>
      </c>
      <c r="E47">
        <v>1</v>
      </c>
      <c r="F47">
        <v>-2</v>
      </c>
      <c r="G47">
        <v>-66.666666666666671</v>
      </c>
    </row>
    <row r="48" spans="1:7" x14ac:dyDescent="0.2">
      <c r="A48" s="6">
        <v>42094</v>
      </c>
      <c r="B48">
        <v>3782059</v>
      </c>
      <c r="C48">
        <v>119424</v>
      </c>
      <c r="D48">
        <v>3.260603363425512</v>
      </c>
      <c r="E48">
        <v>3</v>
      </c>
      <c r="F48">
        <v>1</v>
      </c>
      <c r="G48">
        <v>50</v>
      </c>
    </row>
    <row r="49" spans="1:7" x14ac:dyDescent="0.2">
      <c r="A49" s="6">
        <v>42004</v>
      </c>
      <c r="B49">
        <v>3662635</v>
      </c>
      <c r="C49">
        <v>64949</v>
      </c>
      <c r="D49">
        <v>1.8052992951580544</v>
      </c>
      <c r="E49">
        <v>2</v>
      </c>
      <c r="F49">
        <v>2</v>
      </c>
      <c r="G49" t="e">
        <v>#DIV/0!</v>
      </c>
    </row>
    <row r="50" spans="1:7" x14ac:dyDescent="0.2">
      <c r="A50" s="6">
        <v>41912</v>
      </c>
      <c r="B50">
        <v>3597686</v>
      </c>
      <c r="C50">
        <v>-15117</v>
      </c>
      <c r="D50">
        <v>-0.41842857194261629</v>
      </c>
      <c r="E50">
        <v>0</v>
      </c>
      <c r="F50">
        <v>6</v>
      </c>
      <c r="G50">
        <v>100</v>
      </c>
    </row>
    <row r="51" spans="1:7" x14ac:dyDescent="0.2">
      <c r="A51" s="6">
        <v>41820</v>
      </c>
      <c r="B51">
        <v>3612803</v>
      </c>
      <c r="C51">
        <v>-215140</v>
      </c>
      <c r="D51">
        <v>-5.6202508762539045</v>
      </c>
      <c r="E51">
        <v>-6</v>
      </c>
      <c r="F51">
        <v>-17</v>
      </c>
      <c r="G51">
        <v>-154.54545454545453</v>
      </c>
    </row>
    <row r="52" spans="1:7" x14ac:dyDescent="0.2">
      <c r="A52" s="6">
        <v>41729</v>
      </c>
      <c r="B52">
        <v>3827943</v>
      </c>
      <c r="C52">
        <v>374535</v>
      </c>
      <c r="D52">
        <v>10.84537361354349</v>
      </c>
      <c r="E52">
        <v>11</v>
      </c>
      <c r="F52">
        <v>8</v>
      </c>
      <c r="G52">
        <v>266.66666666666669</v>
      </c>
    </row>
    <row r="53" spans="1:7" x14ac:dyDescent="0.2">
      <c r="A53" s="6">
        <v>41639</v>
      </c>
      <c r="B53">
        <v>3453408</v>
      </c>
      <c r="C53">
        <v>97394</v>
      </c>
      <c r="D53">
        <v>2.902073710061996</v>
      </c>
      <c r="E53">
        <v>3</v>
      </c>
      <c r="F53">
        <v>4</v>
      </c>
      <c r="G53">
        <v>400</v>
      </c>
    </row>
    <row r="54" spans="1:7" x14ac:dyDescent="0.2">
      <c r="A54" s="6">
        <v>41547</v>
      </c>
      <c r="B54">
        <v>3356014</v>
      </c>
      <c r="C54">
        <v>-35078</v>
      </c>
      <c r="D54">
        <v>-1.0344160524102561</v>
      </c>
      <c r="E54">
        <v>-1</v>
      </c>
      <c r="F54">
        <v>-3</v>
      </c>
      <c r="G54">
        <v>-150</v>
      </c>
    </row>
    <row r="55" spans="1:7" x14ac:dyDescent="0.2">
      <c r="A55" s="6">
        <v>41453</v>
      </c>
      <c r="B55">
        <v>3391092</v>
      </c>
      <c r="C55">
        <v>60561</v>
      </c>
      <c r="D55">
        <v>1.8183586941541754</v>
      </c>
      <c r="E55">
        <v>2</v>
      </c>
      <c r="F55">
        <v>-2</v>
      </c>
      <c r="G55">
        <v>-50</v>
      </c>
    </row>
    <row r="56" spans="1:7" x14ac:dyDescent="0.2">
      <c r="A56" s="6">
        <v>41362</v>
      </c>
      <c r="B56">
        <v>3330531</v>
      </c>
      <c r="C56">
        <v>142922</v>
      </c>
      <c r="D56">
        <v>4.483674126908288</v>
      </c>
      <c r="E56">
        <v>4</v>
      </c>
      <c r="F56">
        <v>4</v>
      </c>
      <c r="G56" t="e">
        <v>#DIV/0!</v>
      </c>
    </row>
    <row r="57" spans="1:7" x14ac:dyDescent="0.2">
      <c r="A57" s="6">
        <v>41274</v>
      </c>
      <c r="B57">
        <v>3187609</v>
      </c>
      <c r="C57">
        <v>5842</v>
      </c>
      <c r="D57">
        <v>0.18360866776228429</v>
      </c>
      <c r="E57">
        <v>0</v>
      </c>
      <c r="F57">
        <v>-8</v>
      </c>
      <c r="G57">
        <v>-100</v>
      </c>
    </row>
    <row r="58" spans="1:7" x14ac:dyDescent="0.2">
      <c r="A58" s="6">
        <v>41180</v>
      </c>
      <c r="B58">
        <v>3181767</v>
      </c>
      <c r="C58">
        <v>235880</v>
      </c>
      <c r="D58">
        <v>8.0070959951960141</v>
      </c>
      <c r="E58">
        <v>8</v>
      </c>
      <c r="F58">
        <v>-2</v>
      </c>
      <c r="G58">
        <v>-20</v>
      </c>
    </row>
    <row r="59" spans="1:7" x14ac:dyDescent="0.2">
      <c r="A59" s="6">
        <v>41089</v>
      </c>
      <c r="B59">
        <v>2945887</v>
      </c>
      <c r="C59">
        <v>257542</v>
      </c>
      <c r="D59">
        <v>9.579946026272669</v>
      </c>
      <c r="E59">
        <v>10</v>
      </c>
      <c r="F59">
        <v>17</v>
      </c>
      <c r="G59">
        <v>242.85714285714286</v>
      </c>
    </row>
    <row r="60" spans="1:7" x14ac:dyDescent="0.2">
      <c r="A60" s="6">
        <v>40998</v>
      </c>
      <c r="B60">
        <v>2688345</v>
      </c>
      <c r="C60">
        <v>-212185</v>
      </c>
      <c r="D60">
        <v>-7.3153871878587706</v>
      </c>
      <c r="E60">
        <v>-7</v>
      </c>
      <c r="F60">
        <v>-11</v>
      </c>
      <c r="G60">
        <v>-275</v>
      </c>
    </row>
    <row r="61" spans="1:7" x14ac:dyDescent="0.2">
      <c r="A61" s="6">
        <v>40907</v>
      </c>
      <c r="B61">
        <v>2900530</v>
      </c>
      <c r="C61">
        <v>105251</v>
      </c>
      <c r="D61">
        <v>3.7653128721676801</v>
      </c>
      <c r="E61">
        <v>4</v>
      </c>
      <c r="F61">
        <v>5</v>
      </c>
      <c r="G61">
        <v>500</v>
      </c>
    </row>
    <row r="62" spans="1:7" x14ac:dyDescent="0.2">
      <c r="A62" s="6">
        <v>40816</v>
      </c>
      <c r="B62">
        <v>2795279</v>
      </c>
      <c r="C62">
        <v>-14327</v>
      </c>
      <c r="D62">
        <v>-0.5099291502082498</v>
      </c>
      <c r="E62">
        <v>-1</v>
      </c>
      <c r="F62">
        <v>2</v>
      </c>
      <c r="G62">
        <v>66.666666666666671</v>
      </c>
    </row>
    <row r="63" spans="1:7" x14ac:dyDescent="0.2">
      <c r="A63" s="6">
        <v>40724</v>
      </c>
      <c r="B63">
        <v>2809606</v>
      </c>
      <c r="C63">
        <v>-90050</v>
      </c>
      <c r="D63">
        <v>-3.1055407951839804</v>
      </c>
      <c r="E63">
        <v>-3</v>
      </c>
      <c r="F63">
        <v>-5</v>
      </c>
      <c r="G63">
        <v>-250</v>
      </c>
    </row>
    <row r="64" spans="1:7" x14ac:dyDescent="0.2">
      <c r="A64" s="6">
        <v>40633</v>
      </c>
      <c r="B64">
        <v>2899656</v>
      </c>
      <c r="C64">
        <v>55039</v>
      </c>
      <c r="D64">
        <v>1.9348474680422707</v>
      </c>
      <c r="E64">
        <v>2</v>
      </c>
      <c r="F64">
        <v>2</v>
      </c>
      <c r="G64" t="e">
        <v>#DIV/0!</v>
      </c>
    </row>
    <row r="65" spans="1:7" x14ac:dyDescent="0.2">
      <c r="A65" s="6">
        <v>40543</v>
      </c>
      <c r="B65">
        <v>2844617</v>
      </c>
      <c r="C65">
        <v>12739</v>
      </c>
      <c r="D65">
        <v>0.4498428251499535</v>
      </c>
      <c r="E65">
        <v>0</v>
      </c>
      <c r="F65">
        <v>-2</v>
      </c>
      <c r="G65">
        <v>-100</v>
      </c>
    </row>
    <row r="66" spans="1:7" x14ac:dyDescent="0.2">
      <c r="A66" s="6">
        <v>40451</v>
      </c>
      <c r="B66">
        <v>2831878</v>
      </c>
      <c r="C66">
        <v>56444</v>
      </c>
      <c r="D66">
        <v>2.0336999546737555</v>
      </c>
      <c r="E66">
        <v>2</v>
      </c>
      <c r="F66">
        <v>-1</v>
      </c>
      <c r="G66">
        <v>-33.333333333333336</v>
      </c>
    </row>
    <row r="67" spans="1:7" x14ac:dyDescent="0.2">
      <c r="A67" s="6">
        <v>40359</v>
      </c>
      <c r="B67">
        <v>2775434</v>
      </c>
      <c r="C67">
        <v>83997</v>
      </c>
      <c r="D67">
        <v>3.1208978697996645</v>
      </c>
      <c r="E67">
        <v>3</v>
      </c>
      <c r="F67">
        <v>4</v>
      </c>
      <c r="G67">
        <v>400</v>
      </c>
    </row>
    <row r="68" spans="1:7" x14ac:dyDescent="0.2">
      <c r="A68" s="6">
        <v>40268</v>
      </c>
      <c r="B68">
        <v>2691437</v>
      </c>
      <c r="C68">
        <v>-21050</v>
      </c>
      <c r="D68">
        <v>-0.77604058563229983</v>
      </c>
      <c r="E68">
        <v>-1</v>
      </c>
      <c r="F68">
        <v>2</v>
      </c>
      <c r="G68">
        <v>66.666666666666671</v>
      </c>
    </row>
    <row r="69" spans="1:7" x14ac:dyDescent="0.2">
      <c r="A69" s="6">
        <v>40178</v>
      </c>
      <c r="B69">
        <v>2712487</v>
      </c>
      <c r="C69">
        <v>-96854</v>
      </c>
      <c r="D69">
        <v>-3.4475700885011822</v>
      </c>
      <c r="E69">
        <v>-3</v>
      </c>
      <c r="F69">
        <v>5</v>
      </c>
      <c r="G69">
        <v>62.5</v>
      </c>
    </row>
    <row r="70" spans="1:7" x14ac:dyDescent="0.2">
      <c r="A70" s="6">
        <v>40086</v>
      </c>
      <c r="B70">
        <v>2809341</v>
      </c>
      <c r="C70">
        <v>-234254</v>
      </c>
      <c r="D70">
        <v>-7.6966219224305465</v>
      </c>
      <c r="E70">
        <v>-8</v>
      </c>
      <c r="F70">
        <v>0</v>
      </c>
      <c r="G70">
        <v>0</v>
      </c>
    </row>
    <row r="71" spans="1:7" x14ac:dyDescent="0.2">
      <c r="A71" s="6">
        <v>39994</v>
      </c>
      <c r="B71">
        <v>3043595</v>
      </c>
      <c r="C71">
        <v>-272571</v>
      </c>
      <c r="D71">
        <v>-8.2194618725359341</v>
      </c>
      <c r="E71">
        <v>-8</v>
      </c>
      <c r="F71">
        <v>-7</v>
      </c>
      <c r="G71">
        <v>-700</v>
      </c>
    </row>
    <row r="72" spans="1:7" x14ac:dyDescent="0.2">
      <c r="A72" s="6">
        <v>39903</v>
      </c>
      <c r="B72">
        <v>3316166</v>
      </c>
      <c r="C72">
        <v>-42687</v>
      </c>
      <c r="D72">
        <v>-1.2708802677580711</v>
      </c>
      <c r="E72">
        <v>-1</v>
      </c>
      <c r="F72">
        <v>1</v>
      </c>
      <c r="G72">
        <v>50</v>
      </c>
    </row>
    <row r="73" spans="1:7" x14ac:dyDescent="0.2">
      <c r="A73" s="6">
        <v>39813</v>
      </c>
      <c r="B73">
        <v>3358853</v>
      </c>
      <c r="C73">
        <v>-59030</v>
      </c>
      <c r="D73">
        <v>-1.7270924721530843</v>
      </c>
      <c r="E73">
        <v>-2</v>
      </c>
      <c r="F73">
        <v>0</v>
      </c>
      <c r="G73">
        <v>0</v>
      </c>
    </row>
    <row r="74" spans="1:7" x14ac:dyDescent="0.2">
      <c r="A74" s="6">
        <v>39721</v>
      </c>
      <c r="B74">
        <v>3417883</v>
      </c>
      <c r="C74">
        <v>-80714</v>
      </c>
      <c r="D74">
        <v>-2.3070390788078763</v>
      </c>
      <c r="E74">
        <v>-2</v>
      </c>
      <c r="F74">
        <v>-1</v>
      </c>
      <c r="G74">
        <v>-100</v>
      </c>
    </row>
    <row r="75" spans="1:7" x14ac:dyDescent="0.2">
      <c r="A75" s="6">
        <v>39629</v>
      </c>
      <c r="B75">
        <v>3498597</v>
      </c>
      <c r="C75">
        <v>-48122</v>
      </c>
      <c r="D75">
        <v>-1.3568032877710356</v>
      </c>
      <c r="E75">
        <v>-1</v>
      </c>
      <c r="F75">
        <v>9</v>
      </c>
      <c r="G75">
        <v>90</v>
      </c>
    </row>
    <row r="76" spans="1:7" x14ac:dyDescent="0.2">
      <c r="A76" s="6">
        <v>39538</v>
      </c>
      <c r="B76">
        <v>3546719</v>
      </c>
      <c r="C76">
        <v>-387292</v>
      </c>
      <c r="D76">
        <v>-9.8447106528171879</v>
      </c>
      <c r="E76">
        <v>-10</v>
      </c>
      <c r="F76">
        <v>-7</v>
      </c>
      <c r="G76">
        <v>-233.33333333333334</v>
      </c>
    </row>
    <row r="77" spans="1:7" x14ac:dyDescent="0.2">
      <c r="A77" s="6">
        <v>39447</v>
      </c>
      <c r="B77">
        <v>3934011</v>
      </c>
      <c r="C77">
        <v>-131567</v>
      </c>
      <c r="D77">
        <v>-3.2361204237134302</v>
      </c>
      <c r="E77">
        <v>-3</v>
      </c>
      <c r="F77">
        <v>3</v>
      </c>
      <c r="G77">
        <v>50</v>
      </c>
    </row>
    <row r="78" spans="1:7" x14ac:dyDescent="0.2">
      <c r="A78" s="6">
        <v>39353</v>
      </c>
      <c r="B78">
        <v>4065578</v>
      </c>
      <c r="C78">
        <v>-260680</v>
      </c>
      <c r="D78">
        <v>-6.0255306086692011</v>
      </c>
      <c r="E78">
        <v>-6</v>
      </c>
      <c r="F78">
        <v>-5</v>
      </c>
      <c r="G78">
        <v>-500</v>
      </c>
    </row>
    <row r="79" spans="1:7" x14ac:dyDescent="0.2">
      <c r="A79" s="6">
        <v>39262</v>
      </c>
      <c r="B79">
        <v>4326258</v>
      </c>
      <c r="C79">
        <v>-46810</v>
      </c>
      <c r="D79">
        <v>-1.0704155526509078</v>
      </c>
      <c r="E79">
        <v>-1</v>
      </c>
      <c r="F79">
        <v>4</v>
      </c>
      <c r="G79">
        <v>80</v>
      </c>
    </row>
    <row r="80" spans="1:7" x14ac:dyDescent="0.2">
      <c r="A80" s="6">
        <v>39171</v>
      </c>
      <c r="B80">
        <v>4373068</v>
      </c>
      <c r="C80">
        <v>-214215</v>
      </c>
      <c r="D80">
        <v>-4.6697576757309287</v>
      </c>
      <c r="E80">
        <v>-5</v>
      </c>
      <c r="F80">
        <v>-2</v>
      </c>
      <c r="G80">
        <v>-66.666666666666671</v>
      </c>
    </row>
    <row r="81" spans="1:7" x14ac:dyDescent="0.2">
      <c r="A81" s="6">
        <v>39080</v>
      </c>
      <c r="B81">
        <v>4587283</v>
      </c>
      <c r="C81">
        <v>-134868</v>
      </c>
      <c r="D81">
        <v>-2.8560713115696639</v>
      </c>
      <c r="E81">
        <v>-3</v>
      </c>
      <c r="F81">
        <v>-3</v>
      </c>
      <c r="G81" t="e">
        <v>#DIV/0!</v>
      </c>
    </row>
    <row r="82" spans="1:7" x14ac:dyDescent="0.2">
      <c r="A82" s="6">
        <v>38989</v>
      </c>
      <c r="B82">
        <v>4722151</v>
      </c>
      <c r="C82">
        <v>-19067</v>
      </c>
      <c r="D82">
        <v>-0.40215404564818574</v>
      </c>
      <c r="E82">
        <v>0</v>
      </c>
      <c r="F82">
        <v>4</v>
      </c>
      <c r="G82">
        <v>100</v>
      </c>
    </row>
    <row r="83" spans="1:7" x14ac:dyDescent="0.2">
      <c r="A83" s="6">
        <v>38898</v>
      </c>
      <c r="B83">
        <v>4741218</v>
      </c>
      <c r="C83">
        <v>-207555</v>
      </c>
      <c r="D83">
        <v>-4.1940699239993426</v>
      </c>
      <c r="E83">
        <v>-4</v>
      </c>
      <c r="F83">
        <v>-6</v>
      </c>
      <c r="G83">
        <v>-300</v>
      </c>
    </row>
    <row r="84" spans="1:7" x14ac:dyDescent="0.2">
      <c r="A84" s="6">
        <v>38807</v>
      </c>
      <c r="B84">
        <v>4948773</v>
      </c>
      <c r="C84">
        <v>92124</v>
      </c>
      <c r="D84">
        <v>1.8968634546165473</v>
      </c>
      <c r="E84">
        <v>2</v>
      </c>
      <c r="F84">
        <v>4</v>
      </c>
      <c r="G84">
        <v>200</v>
      </c>
    </row>
    <row r="85" spans="1:7" x14ac:dyDescent="0.2">
      <c r="A85" s="6">
        <v>38716</v>
      </c>
      <c r="B85">
        <v>4856649</v>
      </c>
      <c r="E85">
        <v>-2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60F8-D54E-445D-AFCF-7A729654713D}">
  <dimension ref="A1:H40"/>
  <sheetViews>
    <sheetView workbookViewId="0">
      <selection activeCell="AG50" sqref="AG50"/>
    </sheetView>
  </sheetViews>
  <sheetFormatPr baseColWidth="10" defaultColWidth="8.83203125" defaultRowHeight="15" outlineLevelCol="1" x14ac:dyDescent="0.2"/>
  <cols>
    <col min="1" max="1" width="12.5" customWidth="1"/>
    <col min="2" max="2" width="23" customWidth="1"/>
    <col min="3" max="7" width="9.1640625" hidden="1" customWidth="1" outlineLevel="1"/>
    <col min="8" max="8" width="9.1640625" collapsed="1"/>
  </cols>
  <sheetData>
    <row r="1" spans="1:8" x14ac:dyDescent="0.2">
      <c r="A1" t="s">
        <v>0</v>
      </c>
      <c r="B1" t="s">
        <v>36</v>
      </c>
    </row>
    <row r="2" spans="1:8" x14ac:dyDescent="0.2">
      <c r="A2" t="s">
        <v>2</v>
      </c>
      <c r="B2" s="5">
        <v>42825</v>
      </c>
    </row>
    <row r="3" spans="1:8" x14ac:dyDescent="0.2">
      <c r="A3" t="s">
        <v>3</v>
      </c>
      <c r="B3" s="5">
        <v>45838</v>
      </c>
    </row>
    <row r="4" spans="1:8" x14ac:dyDescent="0.2">
      <c r="A4" t="s">
        <v>4</v>
      </c>
      <c r="B4" t="s">
        <v>19</v>
      </c>
      <c r="H4" t="s">
        <v>38</v>
      </c>
    </row>
    <row r="6" spans="1:8" x14ac:dyDescent="0.2">
      <c r="A6" t="s">
        <v>6</v>
      </c>
      <c r="B6" t="s">
        <v>37</v>
      </c>
      <c r="C6" t="s">
        <v>8</v>
      </c>
      <c r="D6" t="s">
        <v>9</v>
      </c>
      <c r="E6" t="s">
        <v>10</v>
      </c>
      <c r="F6" t="s">
        <v>8</v>
      </c>
      <c r="G6" t="s">
        <v>9</v>
      </c>
      <c r="H6" t="s">
        <v>14</v>
      </c>
    </row>
    <row r="7" spans="1:8" x14ac:dyDescent="0.2">
      <c r="A7" s="6">
        <v>45838</v>
      </c>
      <c r="B7">
        <v>107.8</v>
      </c>
      <c r="C7">
        <v>-18.200000000000003</v>
      </c>
      <c r="D7">
        <v>-14.444444444444446</v>
      </c>
      <c r="E7">
        <v>-14.4</v>
      </c>
      <c r="F7">
        <v>-13.5</v>
      </c>
      <c r="G7">
        <v>-1500</v>
      </c>
    </row>
    <row r="8" spans="1:8" x14ac:dyDescent="0.2">
      <c r="A8" s="6">
        <v>45747</v>
      </c>
      <c r="B8">
        <v>126</v>
      </c>
      <c r="C8">
        <v>-1.2000000000000028</v>
      </c>
      <c r="D8">
        <v>-0.94339622641509657</v>
      </c>
      <c r="E8">
        <v>-0.9</v>
      </c>
      <c r="F8">
        <v>-15.700000000000001</v>
      </c>
      <c r="G8">
        <v>-106.08108108108108</v>
      </c>
    </row>
    <row r="9" spans="1:8" x14ac:dyDescent="0.2">
      <c r="A9" s="6">
        <v>45657</v>
      </c>
      <c r="B9">
        <v>127.2</v>
      </c>
      <c r="C9">
        <v>16.400000000000006</v>
      </c>
      <c r="D9">
        <v>14.801444043321304</v>
      </c>
      <c r="E9">
        <v>14.8</v>
      </c>
      <c r="F9">
        <v>21.700000000000003</v>
      </c>
      <c r="G9">
        <v>314.49275362318843</v>
      </c>
    </row>
    <row r="10" spans="1:8" x14ac:dyDescent="0.2">
      <c r="A10" s="6">
        <v>45565</v>
      </c>
      <c r="B10">
        <v>110.8</v>
      </c>
      <c r="C10">
        <v>-8.2000000000000028</v>
      </c>
      <c r="D10">
        <v>-6.8907563025210106</v>
      </c>
      <c r="E10">
        <v>-6.9</v>
      </c>
      <c r="F10">
        <v>-6.7</v>
      </c>
      <c r="G10">
        <v>-3350</v>
      </c>
    </row>
    <row r="11" spans="1:8" x14ac:dyDescent="0.2">
      <c r="A11" s="6">
        <v>45471</v>
      </c>
      <c r="B11">
        <v>119</v>
      </c>
      <c r="C11">
        <v>-0.20000000000000284</v>
      </c>
      <c r="D11">
        <v>-0.16778523489933123</v>
      </c>
      <c r="E11">
        <v>-0.2</v>
      </c>
      <c r="F11">
        <v>-7.2</v>
      </c>
      <c r="G11">
        <v>-102.85714285714286</v>
      </c>
    </row>
    <row r="12" spans="1:8" x14ac:dyDescent="0.2">
      <c r="A12" s="6">
        <v>45380</v>
      </c>
      <c r="B12">
        <v>119.2</v>
      </c>
      <c r="C12">
        <v>7.7999999999999972</v>
      </c>
      <c r="D12">
        <v>7.0017953321364432</v>
      </c>
      <c r="E12">
        <v>7</v>
      </c>
      <c r="F12">
        <v>16</v>
      </c>
      <c r="G12">
        <v>177.77777777777777</v>
      </c>
    </row>
    <row r="13" spans="1:8" x14ac:dyDescent="0.2">
      <c r="A13" s="6">
        <v>45289</v>
      </c>
      <c r="B13">
        <v>111.4</v>
      </c>
      <c r="C13">
        <v>-11</v>
      </c>
      <c r="D13">
        <v>-8.9869281045751634</v>
      </c>
      <c r="E13">
        <v>-9</v>
      </c>
      <c r="F13">
        <v>-25.2</v>
      </c>
      <c r="G13">
        <v>-155.55555555555557</v>
      </c>
    </row>
    <row r="14" spans="1:8" x14ac:dyDescent="0.2">
      <c r="A14" s="6">
        <v>45198</v>
      </c>
      <c r="B14">
        <v>122.4</v>
      </c>
      <c r="C14">
        <v>17.100000000000009</v>
      </c>
      <c r="D14">
        <v>16.239316239316249</v>
      </c>
      <c r="E14">
        <v>16.2</v>
      </c>
      <c r="F14">
        <v>16.8</v>
      </c>
      <c r="G14">
        <v>2800</v>
      </c>
    </row>
    <row r="15" spans="1:8" x14ac:dyDescent="0.2">
      <c r="A15" s="6">
        <v>45107</v>
      </c>
      <c r="B15">
        <v>105.3</v>
      </c>
      <c r="C15">
        <v>-0.60000000000000853</v>
      </c>
      <c r="D15">
        <v>-0.56657223796034795</v>
      </c>
      <c r="E15">
        <v>-0.6</v>
      </c>
      <c r="F15">
        <v>6.6000000000000005</v>
      </c>
      <c r="G15">
        <v>91.666666666666671</v>
      </c>
    </row>
    <row r="16" spans="1:8" x14ac:dyDescent="0.2">
      <c r="A16" s="6">
        <v>45016</v>
      </c>
      <c r="B16">
        <v>105.9</v>
      </c>
      <c r="C16">
        <v>-8.1999999999999886</v>
      </c>
      <c r="D16">
        <v>-7.1866783523225148</v>
      </c>
      <c r="E16">
        <v>-7.2</v>
      </c>
      <c r="F16">
        <v>5.1000000000000005</v>
      </c>
      <c r="G16">
        <v>41.463414634146346</v>
      </c>
    </row>
    <row r="17" spans="1:7" x14ac:dyDescent="0.2">
      <c r="A17" s="6">
        <v>44925</v>
      </c>
      <c r="B17">
        <v>114.1</v>
      </c>
      <c r="C17">
        <v>-16</v>
      </c>
      <c r="D17">
        <v>-12.298232129131438</v>
      </c>
      <c r="E17">
        <v>-12.3</v>
      </c>
      <c r="F17">
        <v>3.5999999999999996</v>
      </c>
      <c r="G17">
        <v>22.641509433962259</v>
      </c>
    </row>
    <row r="18" spans="1:7" x14ac:dyDescent="0.2">
      <c r="A18" s="6">
        <v>44834</v>
      </c>
      <c r="B18">
        <v>130.1</v>
      </c>
      <c r="C18">
        <v>-24.599999999999994</v>
      </c>
      <c r="D18">
        <v>-15.901745313510018</v>
      </c>
      <c r="E18">
        <v>-15.9</v>
      </c>
      <c r="F18">
        <v>18.100000000000001</v>
      </c>
      <c r="G18">
        <v>53.235294117647065</v>
      </c>
    </row>
    <row r="19" spans="1:7" x14ac:dyDescent="0.2">
      <c r="A19" s="6">
        <v>44742</v>
      </c>
      <c r="B19">
        <v>154.69999999999999</v>
      </c>
      <c r="C19">
        <v>-79.600000000000023</v>
      </c>
      <c r="D19">
        <v>-33.973538198890317</v>
      </c>
      <c r="E19">
        <v>-34</v>
      </c>
      <c r="F19">
        <v>-64</v>
      </c>
      <c r="G19">
        <v>-213.33333333333334</v>
      </c>
    </row>
    <row r="20" spans="1:7" x14ac:dyDescent="0.2">
      <c r="A20" s="6">
        <v>44651</v>
      </c>
      <c r="B20">
        <v>234.3</v>
      </c>
      <c r="C20">
        <v>54</v>
      </c>
      <c r="D20">
        <v>29.950083194675539</v>
      </c>
      <c r="E20">
        <v>30</v>
      </c>
      <c r="F20">
        <v>6.8000000000000007</v>
      </c>
      <c r="G20">
        <v>29.310344827586214</v>
      </c>
    </row>
    <row r="21" spans="1:7" x14ac:dyDescent="0.2">
      <c r="A21" s="6">
        <v>44561</v>
      </c>
      <c r="B21">
        <v>180.3</v>
      </c>
      <c r="C21">
        <v>34</v>
      </c>
      <c r="D21">
        <v>23.239917976760079</v>
      </c>
      <c r="E21">
        <v>23.2</v>
      </c>
      <c r="F21">
        <v>69.3</v>
      </c>
      <c r="G21">
        <v>150.32537960954446</v>
      </c>
    </row>
    <row r="22" spans="1:7" x14ac:dyDescent="0.2">
      <c r="A22" s="6">
        <v>44469</v>
      </c>
      <c r="B22">
        <v>146.30000000000001</v>
      </c>
      <c r="C22">
        <v>-125.09999999999997</v>
      </c>
      <c r="D22">
        <v>-46.094325718496677</v>
      </c>
      <c r="E22">
        <v>-46.1</v>
      </c>
      <c r="F22">
        <v>-71.900000000000006</v>
      </c>
      <c r="G22">
        <v>-278.68217054263567</v>
      </c>
    </row>
    <row r="23" spans="1:7" x14ac:dyDescent="0.2">
      <c r="A23" s="6">
        <v>44377</v>
      </c>
      <c r="B23">
        <v>271.39999999999998</v>
      </c>
      <c r="C23">
        <v>55.699999999999989</v>
      </c>
      <c r="D23">
        <v>25.822902178952244</v>
      </c>
      <c r="E23">
        <v>25.8</v>
      </c>
      <c r="F23">
        <v>-7.8000000000000007</v>
      </c>
      <c r="G23">
        <v>-23.214285714285715</v>
      </c>
    </row>
    <row r="24" spans="1:7" x14ac:dyDescent="0.2">
      <c r="A24" s="6">
        <v>44286</v>
      </c>
      <c r="B24">
        <v>215.7</v>
      </c>
      <c r="C24">
        <v>54.299999999999983</v>
      </c>
      <c r="D24">
        <v>33.643122676579914</v>
      </c>
      <c r="E24">
        <v>33.6</v>
      </c>
      <c r="F24">
        <v>39.4</v>
      </c>
      <c r="G24">
        <v>679.31034482758628</v>
      </c>
    </row>
    <row r="25" spans="1:7" x14ac:dyDescent="0.2">
      <c r="A25" s="6">
        <v>44196</v>
      </c>
      <c r="B25">
        <v>161.4</v>
      </c>
      <c r="C25">
        <v>-9.9000000000000057</v>
      </c>
      <c r="D25">
        <v>-5.7793345008756596</v>
      </c>
      <c r="E25">
        <v>-5.8</v>
      </c>
      <c r="F25">
        <v>-73.7</v>
      </c>
      <c r="G25">
        <v>-108.54197349042708</v>
      </c>
    </row>
    <row r="26" spans="1:7" x14ac:dyDescent="0.2">
      <c r="A26" s="6">
        <v>44104</v>
      </c>
      <c r="B26">
        <v>171.3</v>
      </c>
      <c r="C26">
        <v>69.300000000000011</v>
      </c>
      <c r="D26">
        <v>67.941176470588246</v>
      </c>
      <c r="E26">
        <v>67.900000000000006</v>
      </c>
      <c r="F26">
        <v>72.5</v>
      </c>
      <c r="G26">
        <v>1576.0869565217392</v>
      </c>
    </row>
    <row r="27" spans="1:7" x14ac:dyDescent="0.2">
      <c r="A27" s="6">
        <v>44012</v>
      </c>
      <c r="B27">
        <v>102</v>
      </c>
      <c r="C27">
        <v>-4.9000000000000057</v>
      </c>
      <c r="D27">
        <v>-4.5837231057062722</v>
      </c>
      <c r="E27">
        <v>-4.5999999999999996</v>
      </c>
      <c r="F27">
        <v>-18</v>
      </c>
      <c r="G27">
        <v>-134.32835820895522</v>
      </c>
    </row>
    <row r="28" spans="1:7" x14ac:dyDescent="0.2">
      <c r="A28" s="6">
        <v>43921</v>
      </c>
      <c r="B28">
        <v>106.9</v>
      </c>
      <c r="C28">
        <v>12.600000000000009</v>
      </c>
      <c r="D28">
        <v>13.361611876988345</v>
      </c>
      <c r="E28">
        <v>13.4</v>
      </c>
      <c r="F28">
        <v>9</v>
      </c>
      <c r="G28">
        <v>204.54545454545453</v>
      </c>
    </row>
    <row r="29" spans="1:7" x14ac:dyDescent="0.2">
      <c r="A29" s="6">
        <v>43830</v>
      </c>
      <c r="B29">
        <v>94.3</v>
      </c>
      <c r="C29">
        <v>4</v>
      </c>
      <c r="D29">
        <v>4.4296788482834994</v>
      </c>
      <c r="E29">
        <v>4.4000000000000004</v>
      </c>
      <c r="F29">
        <v>3.5000000000000004</v>
      </c>
      <c r="G29">
        <v>388.88888888888891</v>
      </c>
    </row>
    <row r="30" spans="1:7" x14ac:dyDescent="0.2">
      <c r="A30" s="6">
        <v>43738</v>
      </c>
      <c r="B30">
        <v>90.3</v>
      </c>
      <c r="C30">
        <v>0.79999999999999716</v>
      </c>
      <c r="D30">
        <v>0.89385474860334879</v>
      </c>
      <c r="E30">
        <v>0.9</v>
      </c>
      <c r="F30">
        <v>6.6000000000000005</v>
      </c>
      <c r="G30">
        <v>115.78947368421052</v>
      </c>
    </row>
    <row r="31" spans="1:7" x14ac:dyDescent="0.2">
      <c r="A31" s="6">
        <v>43644</v>
      </c>
      <c r="B31">
        <v>89.5</v>
      </c>
      <c r="C31">
        <v>-5.4000000000000057</v>
      </c>
      <c r="D31">
        <v>-5.690200210748162</v>
      </c>
      <c r="E31">
        <v>-5.7</v>
      </c>
      <c r="F31">
        <v>-8.9</v>
      </c>
      <c r="G31">
        <v>-278.125</v>
      </c>
    </row>
    <row r="32" spans="1:7" x14ac:dyDescent="0.2">
      <c r="A32" s="6">
        <v>43553</v>
      </c>
      <c r="B32">
        <v>94.9</v>
      </c>
      <c r="C32">
        <v>2.9000000000000057</v>
      </c>
      <c r="D32">
        <v>3.1521739130434843</v>
      </c>
      <c r="E32">
        <v>3.2</v>
      </c>
      <c r="F32">
        <v>16.5</v>
      </c>
      <c r="G32">
        <v>124.06015037593984</v>
      </c>
    </row>
    <row r="33" spans="1:7" x14ac:dyDescent="0.2">
      <c r="A33" s="6">
        <v>43465</v>
      </c>
      <c r="B33">
        <v>92</v>
      </c>
      <c r="C33">
        <v>-14.099999999999994</v>
      </c>
      <c r="D33">
        <v>-13.289349670122522</v>
      </c>
      <c r="E33">
        <v>-13.3</v>
      </c>
      <c r="F33">
        <v>4.5</v>
      </c>
      <c r="G33">
        <v>25.280898876404493</v>
      </c>
    </row>
    <row r="34" spans="1:7" x14ac:dyDescent="0.2">
      <c r="A34" s="6">
        <v>43371</v>
      </c>
      <c r="B34">
        <v>106.1</v>
      </c>
      <c r="C34">
        <v>-22.900000000000006</v>
      </c>
      <c r="D34">
        <v>-17.751937984496127</v>
      </c>
      <c r="E34">
        <v>-17.8</v>
      </c>
      <c r="F34">
        <v>-28.5</v>
      </c>
      <c r="G34">
        <v>-266.35514018691589</v>
      </c>
    </row>
    <row r="35" spans="1:7" x14ac:dyDescent="0.2">
      <c r="A35" s="6">
        <v>43280</v>
      </c>
      <c r="B35">
        <v>129</v>
      </c>
      <c r="C35">
        <v>12.5</v>
      </c>
      <c r="D35">
        <v>10.729613733905579</v>
      </c>
      <c r="E35">
        <v>10.7</v>
      </c>
      <c r="F35">
        <v>-0.40000000000000036</v>
      </c>
      <c r="G35">
        <v>-3.6036036036036068</v>
      </c>
    </row>
    <row r="36" spans="1:7" x14ac:dyDescent="0.2">
      <c r="A36" s="6">
        <v>43189</v>
      </c>
      <c r="B36">
        <v>116.5</v>
      </c>
      <c r="C36">
        <v>11.599999999999994</v>
      </c>
      <c r="D36">
        <v>11.058150619637745</v>
      </c>
      <c r="E36">
        <v>11.1</v>
      </c>
      <c r="F36">
        <v>7.3999999999999995</v>
      </c>
      <c r="G36">
        <v>200</v>
      </c>
    </row>
    <row r="37" spans="1:7" x14ac:dyDescent="0.2">
      <c r="A37" s="6">
        <v>43098</v>
      </c>
      <c r="B37">
        <v>104.9</v>
      </c>
      <c r="C37">
        <v>3.7000000000000028</v>
      </c>
      <c r="D37">
        <v>3.6561264822134416</v>
      </c>
      <c r="E37">
        <v>3.7</v>
      </c>
      <c r="F37">
        <v>2.1</v>
      </c>
      <c r="G37">
        <v>131.25</v>
      </c>
    </row>
    <row r="38" spans="1:7" x14ac:dyDescent="0.2">
      <c r="A38" s="6">
        <v>43007</v>
      </c>
      <c r="B38">
        <v>101.2</v>
      </c>
      <c r="C38">
        <v>1.6000000000000085</v>
      </c>
      <c r="D38">
        <v>1.6064257028112536</v>
      </c>
      <c r="E38">
        <v>1.6</v>
      </c>
      <c r="F38">
        <v>-1.2999999999999998</v>
      </c>
      <c r="G38">
        <v>-44.827586206896541</v>
      </c>
    </row>
    <row r="39" spans="1:7" x14ac:dyDescent="0.2">
      <c r="A39" s="6">
        <v>42916</v>
      </c>
      <c r="B39">
        <v>99.6</v>
      </c>
      <c r="C39">
        <v>2.7999999999999972</v>
      </c>
      <c r="D39">
        <v>2.8925619834710714</v>
      </c>
      <c r="E39">
        <v>2.9</v>
      </c>
      <c r="F39" t="s">
        <v>11</v>
      </c>
      <c r="G39" t="s">
        <v>11</v>
      </c>
    </row>
    <row r="40" spans="1:7" x14ac:dyDescent="0.2">
      <c r="A40" s="6">
        <v>42825</v>
      </c>
      <c r="B40">
        <v>96.8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A333B7B3640940A2AC8596D74C14AB" ma:contentTypeVersion="3" ma:contentTypeDescription="Create a new document." ma:contentTypeScope="" ma:versionID="8770f90fba40a71b1bdbf4e113b1d2dc">
  <xsd:schema xmlns:xsd="http://www.w3.org/2001/XMLSchema" xmlns:xs="http://www.w3.org/2001/XMLSchema" xmlns:p="http://schemas.microsoft.com/office/2006/metadata/properties" xmlns:ns2="ec6a13fb-cc94-45df-bbec-8ead59ce3358" targetNamespace="http://schemas.microsoft.com/office/2006/metadata/properties" ma:root="true" ma:fieldsID="d85ac96e4621244d20cc0babd6492fb2" ns2:_="">
    <xsd:import namespace="ec6a13fb-cc94-45df-bbec-8ead59ce33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a13fb-cc94-45df-bbec-8ead59ce3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0024D8-A59E-45F3-BE33-A69802308471}">
  <ds:schemaRefs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c6a13fb-cc94-45df-bbec-8ead59ce335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2F50F44-69C4-4AE4-AF37-45211E8F3E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1021D3-5490-41C1-8194-D6A1824467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a13fb-cc94-45df-bbec-8ead59ce33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USCAD_Exchange_Rate</vt:lpstr>
      <vt:lpstr>US_CPI</vt:lpstr>
      <vt:lpstr>US_GDP</vt:lpstr>
      <vt:lpstr>US_Mortgage_Interest_5Y</vt:lpstr>
      <vt:lpstr>US_Mortgage_Interest_30Y</vt:lpstr>
      <vt:lpstr>US_Building_Permits</vt:lpstr>
      <vt:lpstr>US _BP_Single_Housing</vt:lpstr>
      <vt:lpstr>US_Housing_Start</vt:lpstr>
      <vt:lpstr>US_New_Home_Sales</vt:lpstr>
      <vt:lpstr>US_Existing_Home _Sales</vt:lpstr>
      <vt:lpstr>US Existing_Single_Home_Sales</vt:lpstr>
      <vt:lpstr>US_NAHB_Housing_Market_Index</vt:lpstr>
      <vt:lpstr>US_Population_Growth_Rate_Bloom</vt:lpstr>
      <vt:lpstr>US_Population_Growth_Rate_FRED</vt:lpstr>
      <vt:lpstr>US_Households_Number</vt:lpstr>
      <vt:lpstr>CAD_CPI</vt:lpstr>
      <vt:lpstr>CAD_GDP</vt:lpstr>
      <vt:lpstr>CAD_Building Permits</vt:lpstr>
      <vt:lpstr>CAD_BP_Single_Housing</vt:lpstr>
      <vt:lpstr>CAD_Housing_Start</vt:lpstr>
      <vt:lpstr>CAD_Mortgage_Interest</vt:lpstr>
      <vt:lpstr>CAD_Wholesaler-Distributor</vt:lpstr>
      <vt:lpstr>CAD_Tot_Invent_Wood</vt:lpstr>
      <vt:lpstr>CAD_Export_Price_Lumber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Rafael Daniel Chantres Garcia</cp:lastModifiedBy>
  <dcterms:created xsi:type="dcterms:W3CDTF">2013-04-03T15:49:21Z</dcterms:created>
  <dcterms:modified xsi:type="dcterms:W3CDTF">2025-10-09T18:57:16Z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0x010100C5A333B7B3640940A2AC8596D74C14AB</vt:lpwstr>
  </property>
</Properties>
</file>